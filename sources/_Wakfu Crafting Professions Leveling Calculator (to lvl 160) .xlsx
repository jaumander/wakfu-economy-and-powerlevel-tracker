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K+YTICuGx6nKH71a/iYSo8NRkbJVlboVGa0fPu3Wawk="/>
    </ext>
  </extLst>
</workbook>
</file>

<file path=xl/sharedStrings.xml><?xml version="1.0" encoding="utf-8"?>
<sst xmlns="http://schemas.openxmlformats.org/spreadsheetml/2006/main" count="657" uniqueCount="382">
  <si>
    <t>INPUT:</t>
  </si>
  <si>
    <t>DO:</t>
  </si>
  <si>
    <t>NOTE:</t>
  </si>
  <si>
    <t>Crafting EXP potion used? =</t>
  </si>
  <si>
    <t>--------&gt;</t>
  </si>
  <si>
    <r>
      <rPr>
        <rFont val="Calibri"/>
        <color theme="1"/>
        <sz val="11.0"/>
      </rPr>
      <t xml:space="preserve">type in the blue field either </t>
    </r>
    <r>
      <rPr>
        <rFont val="Calibri"/>
        <b/>
        <color theme="1"/>
        <sz val="11.0"/>
      </rPr>
      <t>0%</t>
    </r>
    <r>
      <rPr>
        <rFont val="Calibri"/>
        <color theme="1"/>
        <sz val="11.0"/>
      </rPr>
      <t xml:space="preserve"> or </t>
    </r>
    <r>
      <rPr>
        <rFont val="Calibri"/>
        <b/>
        <color theme="1"/>
        <sz val="11.0"/>
      </rPr>
      <t>100%</t>
    </r>
    <r>
      <rPr>
        <rFont val="Calibri"/>
        <color theme="1"/>
        <sz val="11.0"/>
      </rPr>
      <t xml:space="preserve"> (bonus)</t>
    </r>
  </si>
  <si>
    <r>
      <rPr>
        <rFont val="Calibri"/>
        <color theme="1"/>
      </rPr>
      <t xml:space="preserve">1) potion </t>
    </r>
    <r>
      <rPr>
        <rFont val="Calibri"/>
        <b/>
        <color theme="1"/>
        <sz val="11.0"/>
      </rPr>
      <t>(30min)</t>
    </r>
    <r>
      <rPr>
        <rFont val="Calibri"/>
        <color theme="1"/>
        <sz val="11.0"/>
      </rPr>
      <t xml:space="preserve"> available if you have Compensation Token, in the Astrub Tavern Cellar. Type 100% if you will use it, if not, type 0</t>
    </r>
  </si>
  <si>
    <t>Guild Bonus? =</t>
  </si>
  <si>
    <r>
      <rPr>
        <rFont val="Calibri"/>
        <color theme="1"/>
      </rPr>
      <t xml:space="preserve">type in the yellow field a value between </t>
    </r>
    <r>
      <rPr>
        <rFont val="Calibri"/>
        <b/>
        <color theme="1"/>
        <sz val="11.0"/>
      </rPr>
      <t>0% to 20%</t>
    </r>
    <r>
      <rPr>
        <rFont val="Calibri"/>
        <color theme="1"/>
        <sz val="11.0"/>
      </rPr>
      <t xml:space="preserve"> (bonus)</t>
    </r>
  </si>
  <si>
    <t>2) guild bonus can give + 5% (x2) crafting EXP bonus AND +10% for each profession seperatly</t>
  </si>
  <si>
    <t>BUGFIX: Base EXP per Craft =</t>
  </si>
  <si>
    <t>type in the EXP per craft of these types ( 5 + 5 -&gt; 1 simple thing)</t>
  </si>
  <si>
    <t>3) If, for balancing reasons in future patches the base EXP per craft might change, edit it here</t>
  </si>
  <si>
    <t>4) you can add an almanax crafting EXP bonus in any +% field if want to wait for a day where you get that bonus to craft it all together</t>
  </si>
  <si>
    <r>
      <rPr>
        <rFont val="Calibri"/>
        <b/>
        <color rgb="FF800000"/>
        <sz val="11.0"/>
      </rPr>
      <t xml:space="preserve">5) IF YOU HAVE GUILD BONUSES ACTIVE, YOUR "BASE EXP" MIGHT SAY </t>
    </r>
    <r>
      <rPr>
        <rFont val="Calibri"/>
        <b/>
        <color rgb="FF800000"/>
        <sz val="11.0"/>
      </rPr>
      <t>495 (+10%</t>
    </r>
    <r>
      <rPr>
        <rFont val="Calibri"/>
        <b/>
        <color rgb="FF800000"/>
        <sz val="11.0"/>
      </rPr>
      <t xml:space="preserve">) OR </t>
    </r>
    <r>
      <rPr>
        <rFont val="Calibri"/>
        <b/>
        <color rgb="FF800000"/>
        <sz val="11.0"/>
      </rPr>
      <t>540 (+20%)</t>
    </r>
    <r>
      <rPr>
        <rFont val="Calibri"/>
        <b/>
        <color rgb="FF800000"/>
        <sz val="11.0"/>
      </rPr>
      <t>, MEANS YOU DONT NEED TO CHANGE ANYTHING</t>
    </r>
  </si>
  <si>
    <r>
      <rPr>
        <rFont val="Calibri"/>
        <b/>
        <color theme="1"/>
        <sz val="14.0"/>
        <u/>
      </rPr>
      <t xml:space="preserve">PROFFESSIONS LVLED WITH </t>
    </r>
    <r>
      <rPr>
        <rFont val="Calibri"/>
        <b/>
        <color theme="1"/>
        <sz val="14.0"/>
        <u/>
      </rPr>
      <t xml:space="preserve">ORE </t>
    </r>
    <r>
      <rPr>
        <rFont val="Calibri"/>
        <b/>
        <color theme="1"/>
        <sz val="14.0"/>
        <u/>
      </rPr>
      <t>ONLY :</t>
    </r>
  </si>
  <si>
    <t>Base for all professions:</t>
  </si>
  <si>
    <t>Jeweler</t>
  </si>
  <si>
    <t>Armorer</t>
  </si>
  <si>
    <t>Sum of needed Ores for both Jewler and Armorer</t>
  </si>
  <si>
    <t>EXP needed</t>
  </si>
  <si>
    <t>Gather of EACH Ressource</t>
  </si>
  <si>
    <t xml:space="preserve">Craft </t>
  </si>
  <si>
    <t>Level Range</t>
  </si>
  <si>
    <t>Recipe</t>
  </si>
  <si>
    <t>Resource 1</t>
  </si>
  <si>
    <t>Resource 2</t>
  </si>
  <si>
    <t>&lt;-- overlapping resources, to count for both professions we simply do it x2</t>
  </si>
  <si>
    <t>1 to 10</t>
  </si>
  <si>
    <t>Coarse Gem</t>
  </si>
  <si>
    <t>Finest Sea Salt</t>
  </si>
  <si>
    <t>Iron Ore</t>
  </si>
  <si>
    <t>Coarse Plate</t>
  </si>
  <si>
    <t>10 to 20</t>
  </si>
  <si>
    <t>Basic Gem</t>
  </si>
  <si>
    <t>Copper Ore</t>
  </si>
  <si>
    <t>Classic Carbon</t>
  </si>
  <si>
    <t>Basic Plate</t>
  </si>
  <si>
    <t>20 to 30</t>
  </si>
  <si>
    <t>Imperfect Gem</t>
  </si>
  <si>
    <t>Bronze Nugget</t>
  </si>
  <si>
    <t>Shadowy Cobalt</t>
  </si>
  <si>
    <t>Imperfect Plate</t>
  </si>
  <si>
    <t>30 to 40</t>
  </si>
  <si>
    <t>Fragile Gem</t>
  </si>
  <si>
    <t>Rugged Quarz</t>
  </si>
  <si>
    <t>Shard of Flint</t>
  </si>
  <si>
    <t>Fragile Plate</t>
  </si>
  <si>
    <t>Rugged Quartz</t>
  </si>
  <si>
    <t>40 to 50</t>
  </si>
  <si>
    <t>Rustic Gem</t>
  </si>
  <si>
    <t>Wholesome Zinc</t>
  </si>
  <si>
    <t>Grievous Kroomium</t>
  </si>
  <si>
    <t>Rustic Plate</t>
  </si>
  <si>
    <t>50 to 60</t>
  </si>
  <si>
    <t>Raw Gem</t>
  </si>
  <si>
    <t>Blood Red Amethyst</t>
  </si>
  <si>
    <t>Royal Bauxite</t>
  </si>
  <si>
    <t>Raw Plate</t>
  </si>
  <si>
    <t>60 to 70</t>
  </si>
  <si>
    <t>Solid Gem</t>
  </si>
  <si>
    <t>Taroudium Ore</t>
  </si>
  <si>
    <t>Koral</t>
  </si>
  <si>
    <t>Solid Plate</t>
  </si>
  <si>
    <t>70 to 80</t>
  </si>
  <si>
    <t>Durable Gem</t>
  </si>
  <si>
    <t>Sandy Ore</t>
  </si>
  <si>
    <t>Hazy Lead Ore</t>
  </si>
  <si>
    <t>Durable Plate</t>
  </si>
  <si>
    <t>80 to 90</t>
  </si>
  <si>
    <t>Refined Gem</t>
  </si>
  <si>
    <t>Mythwil Ore</t>
  </si>
  <si>
    <t>Black Gold Ore</t>
  </si>
  <si>
    <t>Refined Plate</t>
  </si>
  <si>
    <t>90 to 100</t>
  </si>
  <si>
    <t>Precious Gem</t>
  </si>
  <si>
    <t>Sovereign Titanium</t>
  </si>
  <si>
    <t>Double Carat Sapphire Stone</t>
  </si>
  <si>
    <t>Precious Plate</t>
  </si>
  <si>
    <t>100 to 110</t>
  </si>
  <si>
    <t>Exquisite Gem</t>
  </si>
  <si>
    <t>Dark Carbon</t>
  </si>
  <si>
    <t>Sryanide Ore</t>
  </si>
  <si>
    <t>Exquisite Plate</t>
  </si>
  <si>
    <t>110 to 120</t>
  </si>
  <si>
    <t>Mystical Gem</t>
  </si>
  <si>
    <t>Mercury</t>
  </si>
  <si>
    <t>Amber</t>
  </si>
  <si>
    <t>Mystical Plate</t>
  </si>
  <si>
    <t>120 to 130</t>
  </si>
  <si>
    <t>Eternal Gem</t>
  </si>
  <si>
    <t>Obsidian Ore</t>
  </si>
  <si>
    <t>Silver Ore</t>
  </si>
  <si>
    <t>Eternal Plate</t>
  </si>
  <si>
    <t>130 to 140</t>
  </si>
  <si>
    <t>Divine Gem</t>
  </si>
  <si>
    <t>Frozen Garnet</t>
  </si>
  <si>
    <t>Zircon</t>
  </si>
  <si>
    <t>Divine Plate</t>
  </si>
  <si>
    <t>140 to 150</t>
  </si>
  <si>
    <t>Infernal Gem</t>
  </si>
  <si>
    <t>Void Stone</t>
  </si>
  <si>
    <t>Symbioti Stone</t>
  </si>
  <si>
    <t>Infernal Plate</t>
  </si>
  <si>
    <t>150 to 160</t>
  </si>
  <si>
    <t>Ancestral Gem</t>
  </si>
  <si>
    <t>Zicomet</t>
  </si>
  <si>
    <t>Fragmonnite</t>
  </si>
  <si>
    <t>Ancestral Plate</t>
  </si>
  <si>
    <t>160 to 170</t>
  </si>
  <si>
    <t>? Gem</t>
  </si>
  <si>
    <t>? Plate</t>
  </si>
  <si>
    <r>
      <rPr>
        <rFont val="Calibri"/>
        <b/>
        <color theme="1"/>
        <sz val="14.0"/>
        <u/>
      </rPr>
      <t xml:space="preserve">PROFFESSIONS LVLED WITH </t>
    </r>
    <r>
      <rPr>
        <rFont val="Calibri"/>
        <b/>
        <color theme="1"/>
        <sz val="14.0"/>
        <u/>
      </rPr>
      <t>WOOD</t>
    </r>
    <r>
      <rPr>
        <rFont val="Calibri"/>
        <b/>
        <color theme="1"/>
        <sz val="14.0"/>
        <u/>
      </rPr>
      <t xml:space="preserve"> ONLY :</t>
    </r>
  </si>
  <si>
    <t>Weapons Master</t>
  </si>
  <si>
    <t>Handyman</t>
  </si>
  <si>
    <t>Sum of needed Wood for both Weapon Maker and Handyman</t>
  </si>
  <si>
    <t>Coarse Handle</t>
  </si>
  <si>
    <t>Ash Wood</t>
  </si>
  <si>
    <t>Hazel Wood</t>
  </si>
  <si>
    <t>Coarse Bracket</t>
  </si>
  <si>
    <t>Basic Handle</t>
  </si>
  <si>
    <t>Apiwood</t>
  </si>
  <si>
    <t>Chestnut Wood</t>
  </si>
  <si>
    <t>Basic Bracket</t>
  </si>
  <si>
    <t>Imperfect Handle</t>
  </si>
  <si>
    <t>Boabob Wood</t>
  </si>
  <si>
    <t>Birch Wood</t>
  </si>
  <si>
    <t>Imperfect Bracket</t>
  </si>
  <si>
    <t>Fragile Handle</t>
  </si>
  <si>
    <t>Weeping Willow Wood</t>
  </si>
  <si>
    <t>Citronana Wood</t>
  </si>
  <si>
    <t>Fragile Bracket</t>
  </si>
  <si>
    <t>Rustic Handle</t>
  </si>
  <si>
    <t>Pooplar Wood</t>
  </si>
  <si>
    <t>Baby Redwood Wood</t>
  </si>
  <si>
    <t>Rustic Bracket</t>
  </si>
  <si>
    <t>Raw Handle</t>
  </si>
  <si>
    <t>Tadbole Wood</t>
  </si>
  <si>
    <t>Hornbeam Wood</t>
  </si>
  <si>
    <t>Raw Bracket</t>
  </si>
  <si>
    <t>Solid Handle</t>
  </si>
  <si>
    <t>Climbing Tree</t>
  </si>
  <si>
    <t>Frozen Wood</t>
  </si>
  <si>
    <t>Solid Bracket</t>
  </si>
  <si>
    <t>Durable Handle</t>
  </si>
  <si>
    <t>Yew Wood</t>
  </si>
  <si>
    <t>Prickly Wood</t>
  </si>
  <si>
    <t>Durable Bracket</t>
  </si>
  <si>
    <t>Refined Handle</t>
  </si>
  <si>
    <t>Mosscandel Wood</t>
  </si>
  <si>
    <t>Marmalot Wood</t>
  </si>
  <si>
    <t>Refined Bracket</t>
  </si>
  <si>
    <t>Precious Handle</t>
  </si>
  <si>
    <t>Sylvan Wood</t>
  </si>
  <si>
    <t>Elderberry Wood</t>
  </si>
  <si>
    <t>Precious Bracket</t>
  </si>
  <si>
    <t>Exquisite Handle</t>
  </si>
  <si>
    <t>Cherry Tree Wood</t>
  </si>
  <si>
    <t>Dry Wood</t>
  </si>
  <si>
    <t>Exquisite Bracket</t>
  </si>
  <si>
    <t>Mystical Handle</t>
  </si>
  <si>
    <t>Kokonut Wood</t>
  </si>
  <si>
    <t>Divi Divi Wood</t>
  </si>
  <si>
    <t>Mystical Bracket</t>
  </si>
  <si>
    <t>Eternal Handle</t>
  </si>
  <si>
    <t>Bramble Wood</t>
  </si>
  <si>
    <t>Mahogany Wood</t>
  </si>
  <si>
    <t>Eternal Bracket</t>
  </si>
  <si>
    <t>Divine Handle</t>
  </si>
  <si>
    <t>Carya Wood</t>
  </si>
  <si>
    <t>Twisted Seaweed Wood</t>
  </si>
  <si>
    <t>Divine Bracket</t>
  </si>
  <si>
    <t>Infernal Handle</t>
  </si>
  <si>
    <t>Despair Tree Wood</t>
  </si>
  <si>
    <t>Nonbeeching Wood</t>
  </si>
  <si>
    <t>Infernal Bracket</t>
  </si>
  <si>
    <t>Ancestral Handle</t>
  </si>
  <si>
    <t>Astracacia</t>
  </si>
  <si>
    <t>Luzyl</t>
  </si>
  <si>
    <t>Ancestral Bracket</t>
  </si>
  <si>
    <t>? Handle</t>
  </si>
  <si>
    <t>? Bracket</t>
  </si>
  <si>
    <t>OTHER:</t>
  </si>
  <si>
    <t>Baker</t>
  </si>
  <si>
    <t>needs Herbalist Resources</t>
  </si>
  <si>
    <t>Note:</t>
  </si>
  <si>
    <t>Gather each</t>
  </si>
  <si>
    <t>Water</t>
  </si>
  <si>
    <t>Craft this often</t>
  </si>
  <si>
    <t>Coarse Oil</t>
  </si>
  <si>
    <t>Iriss Flower</t>
  </si>
  <si>
    <t>Crowned Thistle</t>
  </si>
  <si>
    <t>Baker can be leveled a bit easier than the other crafting professions.</t>
  </si>
  <si>
    <t>Basic Oil</t>
  </si>
  <si>
    <t>Mint Leaf</t>
  </si>
  <si>
    <t>Flax Flower</t>
  </si>
  <si>
    <t>The repeatedly crafted Oil can be crafted into bread with some water.</t>
  </si>
  <si>
    <t>Imperfect Oil</t>
  </si>
  <si>
    <t>Orchid Flower</t>
  </si>
  <si>
    <t>Scented Clover</t>
  </si>
  <si>
    <t>Switch between crafting oil and baking bread.</t>
  </si>
  <si>
    <t>Fragile Oil</t>
  </si>
  <si>
    <t>Nostril Algae</t>
  </si>
  <si>
    <t>Fuzzy Fern Leaf</t>
  </si>
  <si>
    <t>EXP per Bread:</t>
  </si>
  <si>
    <t>Rustic Oil</t>
  </si>
  <si>
    <t>Reed Stem</t>
  </si>
  <si>
    <t>Gorsegoyle Berry</t>
  </si>
  <si>
    <t>BUGFIX:</t>
  </si>
  <si>
    <t>3 water + 1 oil = 1 bread</t>
  </si>
  <si>
    <t>Raw Oil</t>
  </si>
  <si>
    <t>Funkus</t>
  </si>
  <si>
    <t>Dendron Flower</t>
  </si>
  <si>
    <t>Solid Oil</t>
  </si>
  <si>
    <t>Edelweiss</t>
  </si>
  <si>
    <t>Cotton Flower</t>
  </si>
  <si>
    <t>Durable Oil</t>
  </si>
  <si>
    <t>Aloe Vera Leaf</t>
  </si>
  <si>
    <t>Puffball</t>
  </si>
  <si>
    <t>Refined Oil</t>
  </si>
  <si>
    <t>Venutian Trap</t>
  </si>
  <si>
    <t>Clobbver</t>
  </si>
  <si>
    <t>Precious Oil</t>
  </si>
  <si>
    <t>Volcanic Plant</t>
  </si>
  <si>
    <t>Kamamile Flower</t>
  </si>
  <si>
    <t>Exquisite Oil</t>
  </si>
  <si>
    <t>Death Cap</t>
  </si>
  <si>
    <t>Eterny</t>
  </si>
  <si>
    <t>Mystical Oil</t>
  </si>
  <si>
    <t>Day Lily</t>
  </si>
  <si>
    <t>Tahitare Flower</t>
  </si>
  <si>
    <t>Eternal Oil</t>
  </si>
  <si>
    <t>Nettle Leaf</t>
  </si>
  <si>
    <t>Momoss</t>
  </si>
  <si>
    <t>Divine Oil</t>
  </si>
  <si>
    <t>Delphes Inium</t>
  </si>
  <si>
    <t>Flowerflake</t>
  </si>
  <si>
    <t>Infernal Oil</t>
  </si>
  <si>
    <t>Demonic Galinsoga</t>
  </si>
  <si>
    <t>Thistlominator</t>
  </si>
  <si>
    <t>Ancestral Oil</t>
  </si>
  <si>
    <t>Primaniola</t>
  </si>
  <si>
    <t>Rozen</t>
  </si>
  <si>
    <t>? Oil</t>
  </si>
  <si>
    <t>water</t>
  </si>
  <si>
    <t>Chef</t>
  </si>
  <si>
    <t>needs Fisherman Ressources</t>
  </si>
  <si>
    <t>Ressource 1</t>
  </si>
  <si>
    <t>Ressource 2</t>
  </si>
  <si>
    <t>Coarse Spice</t>
  </si>
  <si>
    <t>Beow Meow Fish</t>
  </si>
  <si>
    <t>Breaded Fish</t>
  </si>
  <si>
    <t>Basic Spice</t>
  </si>
  <si>
    <t>Crabby Anchovy</t>
  </si>
  <si>
    <t>Sturgeon</t>
  </si>
  <si>
    <t>Imperfect Spice</t>
  </si>
  <si>
    <t>Loot</t>
  </si>
  <si>
    <t>Grawn</t>
  </si>
  <si>
    <t>Fragile Spice</t>
  </si>
  <si>
    <t>Salamon</t>
  </si>
  <si>
    <t>Hairy Ray</t>
  </si>
  <si>
    <t>Rustic Spice</t>
  </si>
  <si>
    <t>Perch</t>
  </si>
  <si>
    <t>Moonfish</t>
  </si>
  <si>
    <t>Raw Spice</t>
  </si>
  <si>
    <t>Maskerel</t>
  </si>
  <si>
    <t>Dragocarp</t>
  </si>
  <si>
    <t>Solid Spice</t>
  </si>
  <si>
    <t>Chehorse</t>
  </si>
  <si>
    <t>Grawfish</t>
  </si>
  <si>
    <t>Durable Spice</t>
  </si>
  <si>
    <t>Scincus</t>
  </si>
  <si>
    <t>Eel</t>
  </si>
  <si>
    <t>Refined Spice</t>
  </si>
  <si>
    <t>Piri Pirhiana</t>
  </si>
  <si>
    <t>Hydawhey</t>
  </si>
  <si>
    <t>Precious Spice</t>
  </si>
  <si>
    <t>Hammer Shark</t>
  </si>
  <si>
    <t>Troutuna</t>
  </si>
  <si>
    <t>Exquisite Spice</t>
  </si>
  <si>
    <t>Sea Boowolf</t>
  </si>
  <si>
    <t>Vandame</t>
  </si>
  <si>
    <t>Mystical Spice</t>
  </si>
  <si>
    <t>Dwarf Caiman</t>
  </si>
  <si>
    <t>Knemo</t>
  </si>
  <si>
    <t>Eternal Spice</t>
  </si>
  <si>
    <t>Fish Bone</t>
  </si>
  <si>
    <t>Salamander</t>
  </si>
  <si>
    <t>Divine Spice</t>
  </si>
  <si>
    <t>Schrymp</t>
  </si>
  <si>
    <t>Oyster</t>
  </si>
  <si>
    <t>Infernal Spice</t>
  </si>
  <si>
    <t>Spitefish</t>
  </si>
  <si>
    <t>Deceptifish</t>
  </si>
  <si>
    <t>Ancestral Spice</t>
  </si>
  <si>
    <t>Sea Boss</t>
  </si>
  <si>
    <t>Lunafish</t>
  </si>
  <si>
    <t>? Spice</t>
  </si>
  <si>
    <t xml:space="preserve">Leather Dealer </t>
  </si>
  <si>
    <t>needs Monster Ressources</t>
  </si>
  <si>
    <t>1) Leather Dealer has several recipes for the same type of leather</t>
  </si>
  <si>
    <t>Coarse Leather</t>
  </si>
  <si>
    <t>Larva Skin</t>
  </si>
  <si>
    <t>Gobball Skin</t>
  </si>
  <si>
    <t xml:space="preserve">Before I tell you what to go gather and you realize there is a recipe </t>
  </si>
  <si>
    <t>Basic Leather</t>
  </si>
  <si>
    <t>Branchileg</t>
  </si>
  <si>
    <t>Piwi Beak</t>
  </si>
  <si>
    <t>with ressources from monster groups you precieve as easier to kill,</t>
  </si>
  <si>
    <t>Imperfect Leather</t>
  </si>
  <si>
    <t>please enter your own recipe of choice</t>
  </si>
  <si>
    <t>Fragile Leather</t>
  </si>
  <si>
    <t>Rustic Leather</t>
  </si>
  <si>
    <t>2) the default recipe 5 + 5 -&gt; 1 is not correct</t>
  </si>
  <si>
    <t>Raw Leather</t>
  </si>
  <si>
    <t>different recipes available for same leather</t>
  </si>
  <si>
    <t>instead, Leather Dealer has a 4 + 4 -&gt; 1 recipe pattern</t>
  </si>
  <si>
    <t>Solid Leather</t>
  </si>
  <si>
    <t>choose those you see the easiest to gather</t>
  </si>
  <si>
    <t>which has been considered in the calculation already</t>
  </si>
  <si>
    <t>Durable Leather</t>
  </si>
  <si>
    <t>and enter them here for personal use</t>
  </si>
  <si>
    <t>Refined Leather</t>
  </si>
  <si>
    <t>Precious Leather</t>
  </si>
  <si>
    <t>Exquisite Leather</t>
  </si>
  <si>
    <t>Mystical Leather</t>
  </si>
  <si>
    <t>Eternal Leather</t>
  </si>
  <si>
    <t>Divine Leather</t>
  </si>
  <si>
    <t>Infernal Leather</t>
  </si>
  <si>
    <t>Ancestral Leather</t>
  </si>
  <si>
    <t>? Leather</t>
  </si>
  <si>
    <t>Tailor</t>
  </si>
  <si>
    <t>needs Farmer Ressources</t>
  </si>
  <si>
    <t>Coarse Fiber</t>
  </si>
  <si>
    <t>Artichoke</t>
  </si>
  <si>
    <t>Wheat Straw</t>
  </si>
  <si>
    <t>Basic Fiber</t>
  </si>
  <si>
    <t>Barley Straw</t>
  </si>
  <si>
    <t>Tuberbulb</t>
  </si>
  <si>
    <t>Imperfect Fiber</t>
  </si>
  <si>
    <t>Babbage</t>
  </si>
  <si>
    <t>Cawwot</t>
  </si>
  <si>
    <t>Fragile Fiber</t>
  </si>
  <si>
    <t>Melon</t>
  </si>
  <si>
    <t>Oat Straw</t>
  </si>
  <si>
    <t>Rustic Fiber</t>
  </si>
  <si>
    <t>Mottled Mushroom</t>
  </si>
  <si>
    <t>Rye Fiber</t>
  </si>
  <si>
    <t>Raw Fiber</t>
  </si>
  <si>
    <t>Golden Makafe</t>
  </si>
  <si>
    <t>Vanilla Rice</t>
  </si>
  <si>
    <t>Solid Fiber</t>
  </si>
  <si>
    <t>Corn</t>
  </si>
  <si>
    <t>Watermelon</t>
  </si>
  <si>
    <t>Durable Fiber</t>
  </si>
  <si>
    <t>Desert Truffle</t>
  </si>
  <si>
    <t>Beans</t>
  </si>
  <si>
    <t>Refined Fiber</t>
  </si>
  <si>
    <t>Black Cawwot</t>
  </si>
  <si>
    <t>Mushray</t>
  </si>
  <si>
    <t>Precious Fiber</t>
  </si>
  <si>
    <t>Sunflower</t>
  </si>
  <si>
    <t>Jollyflower</t>
  </si>
  <si>
    <t>Exquisite Fiber</t>
  </si>
  <si>
    <t>Pumpkin</t>
  </si>
  <si>
    <t>Strawberry</t>
  </si>
  <si>
    <t>Mystical Fiber</t>
  </si>
  <si>
    <t>Palm</t>
  </si>
  <si>
    <t>Bitter Maniok</t>
  </si>
  <si>
    <t>Eternal Fiber</t>
  </si>
  <si>
    <t>Twisted Rump Chilli</t>
  </si>
  <si>
    <t>Sweat Jute Fiber</t>
  </si>
  <si>
    <t>Divine Fiber</t>
  </si>
  <si>
    <t>Iced Cranberry</t>
  </si>
  <si>
    <t>Hactus</t>
  </si>
  <si>
    <t>Infernal Fiber</t>
  </si>
  <si>
    <t>Demon Fruit</t>
  </si>
  <si>
    <t>Evil Bean</t>
  </si>
  <si>
    <t>Ancestral Fiber</t>
  </si>
  <si>
    <t>Bloodiflower</t>
  </si>
  <si>
    <t>Grambo</t>
  </si>
  <si>
    <t>? Fiber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</si>
</sst>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1.0"/>
      <color rgb="FF800000"/>
      <name val="Calibri"/>
    </font>
    <font>
      <b/>
      <u/>
      <sz val="14.0"/>
      <color theme="1"/>
      <name val="Calibri"/>
    </font>
    <font>
      <b/>
      <sz val="12.0"/>
      <color theme="1"/>
      <name val="Calibri"/>
    </font>
    <font>
      <b/>
      <u/>
      <sz val="14.0"/>
      <color theme="1"/>
      <name val="Calibri"/>
    </font>
    <font>
      <b/>
      <u/>
      <sz val="18.0"/>
      <color theme="1"/>
      <name val="Calibri"/>
    </font>
    <font>
      <b/>
      <u/>
      <sz val="11.0"/>
      <color theme="1"/>
      <name val="Calibri"/>
    </font>
    <font>
      <sz val="8.0"/>
      <color theme="1"/>
      <name val="Calibri"/>
    </font>
    <font>
      <b/>
      <color theme="1"/>
      <name val="Calibri"/>
    </font>
    <font>
      <color rgb="FFFF0000"/>
      <name val="Calibri"/>
      <scheme val="minor"/>
    </font>
    <font>
      <b/>
      <u/>
      <sz val="11.0"/>
      <color theme="1"/>
      <name val="Calibri"/>
    </font>
    <font>
      <i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8CBAD"/>
        <bgColor rgb="FFF8CBAD"/>
      </patternFill>
    </fill>
    <fill>
      <patternFill patternType="solid">
        <fgColor rgb="FFCCCCFF"/>
        <bgColor rgb="FFCCCCFF"/>
      </patternFill>
    </fill>
    <fill>
      <patternFill patternType="solid">
        <fgColor rgb="FFFEF2CB"/>
        <bgColor rgb="FFFEF2CB"/>
      </patternFill>
    </fill>
    <fill>
      <patternFill patternType="solid">
        <fgColor rgb="FFBEEDA7"/>
        <bgColor rgb="FFBEEDA7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3" numFmtId="0" xfId="0" applyFont="1"/>
    <xf borderId="1" fillId="2" fontId="4" numFmtId="9" xfId="0" applyBorder="1" applyFill="1" applyFont="1" applyNumberFormat="1"/>
    <xf quotePrefix="1" borderId="0" fillId="0" fontId="2" numFmtId="0" xfId="0" applyFont="1"/>
    <xf borderId="0" fillId="0" fontId="4" numFmtId="0" xfId="0" applyFont="1"/>
    <xf borderId="0" fillId="0" fontId="5" numFmtId="0" xfId="0" applyFont="1"/>
    <xf borderId="1" fillId="3" fontId="4" numFmtId="9" xfId="0" applyAlignment="1" applyBorder="1" applyFill="1" applyFont="1" applyNumberFormat="1">
      <alignment readingOrder="0"/>
    </xf>
    <xf borderId="0" fillId="0" fontId="3" numFmtId="0" xfId="0" applyFont="1"/>
    <xf borderId="1" fillId="4" fontId="4" numFmtId="0" xfId="0" applyAlignment="1" applyBorder="1" applyFill="1" applyFont="1">
      <alignment readingOrder="0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Font="1"/>
    <xf borderId="1" fillId="5" fontId="4" numFmtId="0" xfId="0" applyBorder="1" applyFill="1" applyFont="1"/>
    <xf borderId="1" fillId="5" fontId="11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1" fillId="5" fontId="2" numFmtId="0" xfId="0" applyAlignment="1" applyBorder="1" applyFont="1">
      <alignment horizontal="left" vertical="top"/>
    </xf>
    <xf borderId="0" fillId="0" fontId="12" numFmtId="0" xfId="0" applyFont="1"/>
    <xf borderId="1" fillId="6" fontId="4" numFmtId="0" xfId="0" applyBorder="1" applyFill="1" applyFont="1"/>
    <xf quotePrefix="1" borderId="0" fillId="0" fontId="4" numFmtId="0" xfId="0" applyFont="1"/>
    <xf borderId="1" fillId="6" fontId="2" numFmtId="0" xfId="0" applyBorder="1" applyFont="1"/>
    <xf borderId="0" fillId="0" fontId="13" numFmtId="0" xfId="0" applyFont="1"/>
    <xf borderId="1" fillId="7" fontId="4" numFmtId="0" xfId="0" applyBorder="1" applyFill="1" applyFont="1"/>
    <xf borderId="0" fillId="0" fontId="14" numFmtId="0" xfId="0" applyFont="1"/>
    <xf borderId="1" fillId="6" fontId="15" numFmtId="0" xfId="0" applyBorder="1" applyFont="1"/>
    <xf borderId="1" fillId="6" fontId="16" numFmtId="0" xfId="0" applyBorder="1" applyFont="1"/>
    <xf borderId="0" fillId="8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11.29"/>
    <col customWidth="1" min="5" max="5" width="10.43"/>
    <col customWidth="1" min="6" max="6" width="9.14"/>
    <col customWidth="1" min="7" max="7" width="11.43"/>
    <col customWidth="1" min="8" max="8" width="21.14"/>
    <col customWidth="1" min="9" max="9" width="26.43"/>
    <col customWidth="1" min="10" max="11" width="11.43"/>
    <col customWidth="1" min="12" max="12" width="19.14"/>
    <col customWidth="1" min="13" max="13" width="15.86"/>
    <col customWidth="1" min="14" max="14" width="11.43"/>
    <col customWidth="1" min="15" max="15" width="13.0"/>
    <col customWidth="1" min="16" max="16" width="18.0"/>
    <col customWidth="1" min="17" max="17" width="6.43"/>
    <col customWidth="1" min="18" max="18" width="5.0"/>
    <col customWidth="1" min="19" max="19" width="17.0"/>
    <col customWidth="1" min="20" max="20" width="6.86"/>
    <col customWidth="1" min="21" max="26" width="11.43"/>
  </cols>
  <sheetData>
    <row r="1">
      <c r="E1" s="1" t="s">
        <v>0</v>
      </c>
      <c r="G1" s="2" t="s">
        <v>1</v>
      </c>
      <c r="L1" s="2" t="s">
        <v>2</v>
      </c>
    </row>
    <row r="2">
      <c r="B2" s="3" t="s">
        <v>3</v>
      </c>
      <c r="E2" s="4">
        <v>0.0</v>
      </c>
      <c r="F2" s="5" t="s">
        <v>4</v>
      </c>
      <c r="G2" s="6" t="s">
        <v>5</v>
      </c>
      <c r="L2" s="7" t="s">
        <v>6</v>
      </c>
    </row>
    <row r="3">
      <c r="B3" s="3" t="s">
        <v>7</v>
      </c>
      <c r="E3" s="8">
        <v>0.0</v>
      </c>
      <c r="F3" s="5" t="s">
        <v>4</v>
      </c>
      <c r="G3" s="7" t="s">
        <v>8</v>
      </c>
      <c r="L3" s="7" t="s">
        <v>9</v>
      </c>
    </row>
    <row r="4">
      <c r="B4" s="9" t="s">
        <v>10</v>
      </c>
      <c r="E4" s="10">
        <v>300.0</v>
      </c>
      <c r="F4" s="5" t="s">
        <v>4</v>
      </c>
      <c r="G4" s="7" t="s">
        <v>11</v>
      </c>
      <c r="L4" s="7" t="s">
        <v>12</v>
      </c>
    </row>
    <row r="5">
      <c r="E5" s="6"/>
      <c r="F5" s="2"/>
      <c r="L5" s="7" t="s">
        <v>13</v>
      </c>
    </row>
    <row r="6">
      <c r="L6" s="11" t="s">
        <v>14</v>
      </c>
    </row>
    <row r="7">
      <c r="G7" s="12" t="s">
        <v>15</v>
      </c>
    </row>
    <row r="8">
      <c r="I8" s="6"/>
    </row>
    <row r="9">
      <c r="B9" s="13" t="s">
        <v>16</v>
      </c>
      <c r="G9" s="14" t="s">
        <v>17</v>
      </c>
      <c r="K9" s="12" t="s">
        <v>18</v>
      </c>
      <c r="P9" s="15" t="s">
        <v>19</v>
      </c>
    </row>
    <row r="10">
      <c r="B10" s="2" t="s">
        <v>20</v>
      </c>
      <c r="C10" s="2" t="s">
        <v>21</v>
      </c>
      <c r="D10" s="2" t="s">
        <v>22</v>
      </c>
      <c r="E10" s="2" t="s">
        <v>23</v>
      </c>
      <c r="G10" s="2" t="s">
        <v>24</v>
      </c>
      <c r="H10" s="2" t="s">
        <v>25</v>
      </c>
      <c r="I10" s="2" t="s">
        <v>26</v>
      </c>
      <c r="K10" s="2" t="s">
        <v>24</v>
      </c>
      <c r="L10" s="2" t="s">
        <v>25</v>
      </c>
      <c r="M10" s="2" t="s">
        <v>26</v>
      </c>
      <c r="P10" s="7" t="s">
        <v>27</v>
      </c>
    </row>
    <row r="11">
      <c r="B11" s="16">
        <f>((150*1)+75)+((150*2)+75)+((150*3)+75)+((150*4)+75)+((150*5)+75)+((150*6)+75)+((150*7)+75)+((150*8)+75)+((150*9)+75)</f>
        <v>7425</v>
      </c>
      <c r="C11" s="17">
        <f t="shared" ref="C11:C27" si="1">D11*5</f>
        <v>125</v>
      </c>
      <c r="D11" s="18">
        <f>ROUNDUP(B11/(E4*(1+E2+E3)),0)</f>
        <v>25</v>
      </c>
      <c r="E11" s="19" t="s">
        <v>28</v>
      </c>
      <c r="G11" s="20" t="s">
        <v>29</v>
      </c>
      <c r="H11" s="21" t="s">
        <v>30</v>
      </c>
      <c r="I11" s="21" t="s">
        <v>31</v>
      </c>
      <c r="K11" s="20" t="s">
        <v>32</v>
      </c>
      <c r="L11" s="21" t="s">
        <v>30</v>
      </c>
      <c r="M11" s="21" t="s">
        <v>31</v>
      </c>
      <c r="O11" s="22" t="s">
        <v>4</v>
      </c>
      <c r="P11" s="21" t="s">
        <v>30</v>
      </c>
      <c r="Q11" s="23">
        <f t="shared" ref="Q11:Q27" si="2">C11*2</f>
        <v>250</v>
      </c>
      <c r="S11" s="21" t="s">
        <v>31</v>
      </c>
      <c r="T11" s="23">
        <f t="shared" ref="T11:T27" si="3">C11*2</f>
        <v>250</v>
      </c>
    </row>
    <row r="12">
      <c r="B12" s="16">
        <f>((150*10)+75)+((150*11)+75)+((150*12)+75)+((150*13)+75)+((150*14)+75)+((150*15)+75)+((150*16)+75)+((150*17)+75)+((150*18)+75)+((150*19)+75)</f>
        <v>22500</v>
      </c>
      <c r="C12" s="17">
        <f t="shared" si="1"/>
        <v>375</v>
      </c>
      <c r="D12" s="18">
        <f>ROUNDUP(B12/(E4*(1+E2+E3)),0)</f>
        <v>75</v>
      </c>
      <c r="E12" s="19" t="s">
        <v>33</v>
      </c>
      <c r="G12" s="20" t="s">
        <v>34</v>
      </c>
      <c r="H12" s="21" t="s">
        <v>35</v>
      </c>
      <c r="I12" s="21" t="s">
        <v>36</v>
      </c>
      <c r="K12" s="20" t="s">
        <v>37</v>
      </c>
      <c r="L12" s="21" t="s">
        <v>35</v>
      </c>
      <c r="M12" s="21" t="s">
        <v>36</v>
      </c>
      <c r="O12" s="22" t="s">
        <v>4</v>
      </c>
      <c r="P12" s="21" t="s">
        <v>35</v>
      </c>
      <c r="Q12" s="23">
        <f t="shared" si="2"/>
        <v>750</v>
      </c>
      <c r="S12" s="21" t="s">
        <v>36</v>
      </c>
      <c r="T12" s="23">
        <f t="shared" si="3"/>
        <v>750</v>
      </c>
    </row>
    <row r="13">
      <c r="B13" s="16">
        <f>((150*20)+75)+((150*21)+75)+((150*22)+75)+((150*23)+75)+((150*24)+75)+((150*25)+75)+((150*26)+75)+((150*27)+75)+((150*28)+75)+((150*29)+75)</f>
        <v>37500</v>
      </c>
      <c r="C13" s="17">
        <f t="shared" si="1"/>
        <v>625</v>
      </c>
      <c r="D13" s="18">
        <f>ROUNDUP(B13/(E4*(1+E2+E3)),0)</f>
        <v>125</v>
      </c>
      <c r="E13" s="19" t="s">
        <v>38</v>
      </c>
      <c r="G13" s="20" t="s">
        <v>39</v>
      </c>
      <c r="H13" s="21" t="s">
        <v>40</v>
      </c>
      <c r="I13" s="21" t="s">
        <v>41</v>
      </c>
      <c r="K13" s="20" t="s">
        <v>42</v>
      </c>
      <c r="L13" s="21" t="s">
        <v>40</v>
      </c>
      <c r="M13" s="21" t="s">
        <v>41</v>
      </c>
      <c r="O13" s="22" t="s">
        <v>4</v>
      </c>
      <c r="P13" s="21" t="s">
        <v>40</v>
      </c>
      <c r="Q13" s="23">
        <f t="shared" si="2"/>
        <v>1250</v>
      </c>
      <c r="S13" s="21" t="s">
        <v>41</v>
      </c>
      <c r="T13" s="23">
        <f t="shared" si="3"/>
        <v>1250</v>
      </c>
    </row>
    <row r="14">
      <c r="B14" s="16">
        <f>((150*30)+75)+((150*31)+75)+((150*32)+75)+((150*33)+75)+((150*34)+75)+((150*35)+75)+((150*36)+75)+((150*37)+75)+((150*38)+75)+((150*39)+75)</f>
        <v>52500</v>
      </c>
      <c r="C14" s="17">
        <f t="shared" si="1"/>
        <v>875</v>
      </c>
      <c r="D14" s="18">
        <f>ROUNDUP(B14/(E4*(1+E2+E3)),0)</f>
        <v>175</v>
      </c>
      <c r="E14" s="19" t="s">
        <v>43</v>
      </c>
      <c r="G14" s="20" t="s">
        <v>44</v>
      </c>
      <c r="H14" s="21" t="s">
        <v>45</v>
      </c>
      <c r="I14" s="21" t="s">
        <v>46</v>
      </c>
      <c r="K14" s="20" t="s">
        <v>47</v>
      </c>
      <c r="L14" s="21" t="s">
        <v>46</v>
      </c>
      <c r="M14" s="21" t="s">
        <v>48</v>
      </c>
      <c r="O14" s="22" t="s">
        <v>4</v>
      </c>
      <c r="P14" s="21" t="s">
        <v>46</v>
      </c>
      <c r="Q14" s="23">
        <f t="shared" si="2"/>
        <v>1750</v>
      </c>
      <c r="S14" s="21" t="s">
        <v>48</v>
      </c>
      <c r="T14" s="23">
        <f t="shared" si="3"/>
        <v>1750</v>
      </c>
    </row>
    <row r="15">
      <c r="B15" s="16">
        <f>((150*40)+75)+((150*41)+75)+((150*42)+75)+((150*43)+75)+((150*44)+75)+((150*45)+75)+((150*46)+75)+((150*47)+75)+((150*48)+75)+((150*49)+75)</f>
        <v>67500</v>
      </c>
      <c r="C15" s="17">
        <f t="shared" si="1"/>
        <v>1125</v>
      </c>
      <c r="D15" s="18">
        <f>ROUNDUP(B15/(E4*(1+E2+E3)),0)</f>
        <v>225</v>
      </c>
      <c r="E15" s="19" t="s">
        <v>49</v>
      </c>
      <c r="G15" s="20" t="s">
        <v>50</v>
      </c>
      <c r="H15" s="21" t="s">
        <v>51</v>
      </c>
      <c r="I15" s="21" t="s">
        <v>52</v>
      </c>
      <c r="K15" s="20" t="s">
        <v>53</v>
      </c>
      <c r="L15" s="21" t="s">
        <v>51</v>
      </c>
      <c r="M15" s="21" t="s">
        <v>52</v>
      </c>
      <c r="O15" s="22" t="s">
        <v>4</v>
      </c>
      <c r="P15" s="21" t="s">
        <v>51</v>
      </c>
      <c r="Q15" s="23">
        <f t="shared" si="2"/>
        <v>2250</v>
      </c>
      <c r="S15" s="21" t="s">
        <v>52</v>
      </c>
      <c r="T15" s="23">
        <f t="shared" si="3"/>
        <v>2250</v>
      </c>
    </row>
    <row r="16">
      <c r="B16" s="16">
        <f>((150*50)+75)+((150*51)+75)+((150*52)+75)+((150*53)+75)+((150*54)+75)+((150*55)+75)+((150*56)+75)+((150*57)+75)+((150*58)+75)+((150*59)+75)</f>
        <v>82500</v>
      </c>
      <c r="C16" s="17">
        <f t="shared" si="1"/>
        <v>1375</v>
      </c>
      <c r="D16" s="18">
        <f>ROUNDUP(B16/(E4*(1+E2+E3)),0)</f>
        <v>275</v>
      </c>
      <c r="E16" s="19" t="s">
        <v>54</v>
      </c>
      <c r="G16" s="20" t="s">
        <v>55</v>
      </c>
      <c r="H16" s="21" t="s">
        <v>56</v>
      </c>
      <c r="I16" s="21" t="s">
        <v>57</v>
      </c>
      <c r="K16" s="20" t="s">
        <v>58</v>
      </c>
      <c r="L16" s="21" t="s">
        <v>56</v>
      </c>
      <c r="M16" s="21" t="s">
        <v>57</v>
      </c>
      <c r="O16" s="22" t="s">
        <v>4</v>
      </c>
      <c r="P16" s="21" t="s">
        <v>56</v>
      </c>
      <c r="Q16" s="23">
        <f t="shared" si="2"/>
        <v>2750</v>
      </c>
      <c r="S16" s="21" t="s">
        <v>57</v>
      </c>
      <c r="T16" s="23">
        <f t="shared" si="3"/>
        <v>2750</v>
      </c>
    </row>
    <row r="17">
      <c r="B17" s="16">
        <f>((150*60)+75)+((150*61)+75)+((150*62)+75)+((150*63)+75)+((150*64)+75)+((150*65)+75)+((150*66)+75)+((150*67)+75)+((150*68)+75)+((150*69)+75)</f>
        <v>97500</v>
      </c>
      <c r="C17" s="17">
        <f t="shared" si="1"/>
        <v>1625</v>
      </c>
      <c r="D17" s="18">
        <f>ROUNDUP(B17/(E4*(1+E2+E3)),0)</f>
        <v>325</v>
      </c>
      <c r="E17" s="19" t="s">
        <v>59</v>
      </c>
      <c r="G17" s="20" t="s">
        <v>60</v>
      </c>
      <c r="H17" s="21" t="s">
        <v>61</v>
      </c>
      <c r="I17" s="21" t="s">
        <v>62</v>
      </c>
      <c r="K17" s="20" t="s">
        <v>63</v>
      </c>
      <c r="L17" s="21" t="s">
        <v>61</v>
      </c>
      <c r="M17" s="21" t="s">
        <v>62</v>
      </c>
      <c r="O17" s="22" t="s">
        <v>4</v>
      </c>
      <c r="P17" s="21" t="s">
        <v>61</v>
      </c>
      <c r="Q17" s="23">
        <f t="shared" si="2"/>
        <v>3250</v>
      </c>
      <c r="S17" s="21" t="s">
        <v>62</v>
      </c>
      <c r="T17" s="23">
        <f t="shared" si="3"/>
        <v>3250</v>
      </c>
    </row>
    <row r="18">
      <c r="B18" s="16">
        <f>((150*70)+75)+((150*71)+75)+((150*72)+75)+((150*73)+75)+((150*74)+75)+((150*75)+75)+((150*76)+75)+((150*77)+75)+((150*78)+75)+((150*79)+75)</f>
        <v>112500</v>
      </c>
      <c r="C18" s="17">
        <f t="shared" si="1"/>
        <v>1875</v>
      </c>
      <c r="D18" s="18">
        <f>ROUNDUP(B18/(E4*(1+E2+E3)),0)</f>
        <v>375</v>
      </c>
      <c r="E18" s="19" t="s">
        <v>64</v>
      </c>
      <c r="G18" s="20" t="s">
        <v>65</v>
      </c>
      <c r="H18" s="21" t="s">
        <v>66</v>
      </c>
      <c r="I18" s="21" t="s">
        <v>67</v>
      </c>
      <c r="K18" s="20" t="s">
        <v>68</v>
      </c>
      <c r="L18" s="21" t="s">
        <v>66</v>
      </c>
      <c r="M18" s="21" t="s">
        <v>67</v>
      </c>
      <c r="O18" s="22" t="s">
        <v>4</v>
      </c>
      <c r="P18" s="21" t="s">
        <v>66</v>
      </c>
      <c r="Q18" s="23">
        <f t="shared" si="2"/>
        <v>3750</v>
      </c>
      <c r="S18" s="21" t="s">
        <v>67</v>
      </c>
      <c r="T18" s="23">
        <f t="shared" si="3"/>
        <v>3750</v>
      </c>
    </row>
    <row r="19">
      <c r="B19" s="16">
        <f>((150*80)+75)+((150*81)+75)+((150*82)+75)+((150*83)+75)+((150*84)+75)+((150*85)+75)+((150*86)+75)+((150*87)+75)+((150*88)+75)+((150*89)+75)</f>
        <v>127500</v>
      </c>
      <c r="C19" s="17">
        <f t="shared" si="1"/>
        <v>2125</v>
      </c>
      <c r="D19" s="18">
        <f>ROUNDUP(B19/(E4*(1+E2+E3)),0)</f>
        <v>425</v>
      </c>
      <c r="E19" s="19" t="s">
        <v>69</v>
      </c>
      <c r="G19" s="20" t="s">
        <v>70</v>
      </c>
      <c r="H19" s="21" t="s">
        <v>71</v>
      </c>
      <c r="I19" s="21" t="s">
        <v>72</v>
      </c>
      <c r="K19" s="20" t="s">
        <v>73</v>
      </c>
      <c r="L19" s="21" t="s">
        <v>71</v>
      </c>
      <c r="M19" s="21" t="s">
        <v>72</v>
      </c>
      <c r="O19" s="22" t="s">
        <v>4</v>
      </c>
      <c r="P19" s="21" t="s">
        <v>71</v>
      </c>
      <c r="Q19" s="23">
        <f t="shared" si="2"/>
        <v>4250</v>
      </c>
      <c r="S19" s="21" t="s">
        <v>72</v>
      </c>
      <c r="T19" s="23">
        <f t="shared" si="3"/>
        <v>4250</v>
      </c>
    </row>
    <row r="20">
      <c r="B20" s="16">
        <f>((150*90)+75)+((150*91)+75)+((150*92)+75)+((150*93)+75)+((150*94)+75)+((150*95)+75)+((150*96)+75)+((150*97)+75)+((150*98)+75)+((150*99)+75)</f>
        <v>142500</v>
      </c>
      <c r="C20" s="17">
        <f t="shared" si="1"/>
        <v>2375</v>
      </c>
      <c r="D20" s="18">
        <f>ROUNDUP(B20/(E4*(1+E2+E3)),0)</f>
        <v>475</v>
      </c>
      <c r="E20" s="19" t="s">
        <v>74</v>
      </c>
      <c r="G20" s="20" t="s">
        <v>75</v>
      </c>
      <c r="H20" s="21" t="s">
        <v>76</v>
      </c>
      <c r="I20" s="21" t="s">
        <v>77</v>
      </c>
      <c r="K20" s="20" t="s">
        <v>78</v>
      </c>
      <c r="L20" s="21" t="s">
        <v>76</v>
      </c>
      <c r="M20" s="21" t="s">
        <v>77</v>
      </c>
      <c r="O20" s="22" t="s">
        <v>4</v>
      </c>
      <c r="P20" s="21" t="s">
        <v>76</v>
      </c>
      <c r="Q20" s="23">
        <f t="shared" si="2"/>
        <v>4750</v>
      </c>
      <c r="S20" s="21" t="s">
        <v>77</v>
      </c>
      <c r="T20" s="23">
        <f t="shared" si="3"/>
        <v>4750</v>
      </c>
    </row>
    <row r="21" ht="15.75" customHeight="1">
      <c r="B21" s="16">
        <f>((150*100)+75)+((150*101)+75)+((150*102)+75)+((150*103)+75)+((150*104)+75)+((150*105)+75)+((150*106)+75)+((150*107)+75)+((150*108)+75)+((150*109)+75)</f>
        <v>157500</v>
      </c>
      <c r="C21" s="17">
        <f t="shared" si="1"/>
        <v>2625</v>
      </c>
      <c r="D21" s="18">
        <f>ROUNDUP(B21/(E4*(1+E2+E3)),0)</f>
        <v>525</v>
      </c>
      <c r="E21" s="19" t="s">
        <v>79</v>
      </c>
      <c r="G21" s="20" t="s">
        <v>80</v>
      </c>
      <c r="H21" s="21" t="s">
        <v>81</v>
      </c>
      <c r="I21" s="21" t="s">
        <v>82</v>
      </c>
      <c r="K21" s="20" t="s">
        <v>83</v>
      </c>
      <c r="L21" s="21" t="s">
        <v>81</v>
      </c>
      <c r="M21" s="21" t="s">
        <v>82</v>
      </c>
      <c r="O21" s="22" t="s">
        <v>4</v>
      </c>
      <c r="P21" s="21" t="s">
        <v>81</v>
      </c>
      <c r="Q21" s="23">
        <f t="shared" si="2"/>
        <v>5250</v>
      </c>
      <c r="S21" s="21" t="s">
        <v>82</v>
      </c>
      <c r="T21" s="23">
        <f t="shared" si="3"/>
        <v>5250</v>
      </c>
    </row>
    <row r="22" ht="15.75" customHeight="1">
      <c r="B22" s="16">
        <f>((150*110)+75)+((150*111)+75)+((150*112)+75)+((150*113)+75)+((150*114)+75)+((150*115)+75)+((150*116)+75)+((150*117)+75)+((150*118)+75)+((150*119)+75)</f>
        <v>172500</v>
      </c>
      <c r="C22" s="17">
        <f t="shared" si="1"/>
        <v>2875</v>
      </c>
      <c r="D22" s="18">
        <f>ROUNDUP(B22/(E4*(1+E2+E3)),0)</f>
        <v>575</v>
      </c>
      <c r="E22" s="19" t="s">
        <v>84</v>
      </c>
      <c r="G22" s="20" t="s">
        <v>85</v>
      </c>
      <c r="H22" s="21" t="s">
        <v>86</v>
      </c>
      <c r="I22" s="21" t="s">
        <v>87</v>
      </c>
      <c r="K22" s="20" t="s">
        <v>88</v>
      </c>
      <c r="L22" s="21" t="s">
        <v>86</v>
      </c>
      <c r="M22" s="21" t="s">
        <v>87</v>
      </c>
      <c r="O22" s="22" t="s">
        <v>4</v>
      </c>
      <c r="P22" s="21" t="s">
        <v>86</v>
      </c>
      <c r="Q22" s="23">
        <f t="shared" si="2"/>
        <v>5750</v>
      </c>
      <c r="S22" s="21" t="s">
        <v>87</v>
      </c>
      <c r="T22" s="23">
        <f t="shared" si="3"/>
        <v>5750</v>
      </c>
    </row>
    <row r="23" ht="15.75" customHeight="1">
      <c r="B23" s="16">
        <f>((150*120)+75)+((150*121)+75)+((150*122)+75)+((150*123)+75)+((150*124)+75)+((150*125)+75)+((150*126)+75)+((150*127)+75)+((150*128)+75)+((150*129)+75)</f>
        <v>187500</v>
      </c>
      <c r="C23" s="17">
        <f t="shared" si="1"/>
        <v>3125</v>
      </c>
      <c r="D23" s="18">
        <f>ROUNDUP(B23/(E4*(1+E2+E3)),0)</f>
        <v>625</v>
      </c>
      <c r="E23" s="19" t="s">
        <v>89</v>
      </c>
      <c r="G23" s="20" t="s">
        <v>90</v>
      </c>
      <c r="H23" s="21" t="s">
        <v>91</v>
      </c>
      <c r="I23" s="21" t="s">
        <v>92</v>
      </c>
      <c r="K23" s="20" t="s">
        <v>93</v>
      </c>
      <c r="L23" s="21" t="s">
        <v>91</v>
      </c>
      <c r="M23" s="21" t="s">
        <v>92</v>
      </c>
      <c r="O23" s="22" t="s">
        <v>4</v>
      </c>
      <c r="P23" s="21" t="s">
        <v>91</v>
      </c>
      <c r="Q23" s="23">
        <f t="shared" si="2"/>
        <v>6250</v>
      </c>
      <c r="S23" s="21" t="s">
        <v>92</v>
      </c>
      <c r="T23" s="23">
        <f t="shared" si="3"/>
        <v>6250</v>
      </c>
    </row>
    <row r="24" ht="15.75" customHeight="1">
      <c r="B24" s="16">
        <f>((150*130)+75)+((150*131)+75)+((150*132)+75)+((150*133)+75)+((150*134)+75)+((150*135)+75)+((150*136)+75)+((150*137)+75)+((150*138)+75)+((150*139)+75)</f>
        <v>202500</v>
      </c>
      <c r="C24" s="17">
        <f t="shared" si="1"/>
        <v>3375</v>
      </c>
      <c r="D24" s="18">
        <f>ROUNDUP(B24/(E4*(1+E2+E3)),0)</f>
        <v>675</v>
      </c>
      <c r="E24" s="19" t="s">
        <v>94</v>
      </c>
      <c r="G24" s="20" t="s">
        <v>95</v>
      </c>
      <c r="H24" s="21" t="s">
        <v>96</v>
      </c>
      <c r="I24" s="21" t="s">
        <v>97</v>
      </c>
      <c r="K24" s="20" t="s">
        <v>98</v>
      </c>
      <c r="L24" s="21" t="s">
        <v>96</v>
      </c>
      <c r="M24" s="21" t="s">
        <v>97</v>
      </c>
      <c r="O24" s="22" t="s">
        <v>4</v>
      </c>
      <c r="P24" s="21" t="s">
        <v>96</v>
      </c>
      <c r="Q24" s="23">
        <f t="shared" si="2"/>
        <v>6750</v>
      </c>
      <c r="S24" s="21" t="s">
        <v>97</v>
      </c>
      <c r="T24" s="23">
        <f t="shared" si="3"/>
        <v>6750</v>
      </c>
    </row>
    <row r="25" ht="15.75" customHeight="1">
      <c r="B25" s="16">
        <f>((150*140)+75)+((150*141)+75)+((150*142)+75)+((150*143)+75)+((150*144)+75)+((150*145)+75)+((150*146)+75)+((150*147)+75)+((150*148)+75)+((150*149)+75)</f>
        <v>217500</v>
      </c>
      <c r="C25" s="17">
        <f t="shared" si="1"/>
        <v>3625</v>
      </c>
      <c r="D25" s="18">
        <f>ROUNDUP(B25/(E4*(1+E2+E3)),0)</f>
        <v>725</v>
      </c>
      <c r="E25" s="19" t="s">
        <v>99</v>
      </c>
      <c r="G25" s="20" t="s">
        <v>100</v>
      </c>
      <c r="H25" s="21" t="s">
        <v>101</v>
      </c>
      <c r="I25" s="21" t="s">
        <v>102</v>
      </c>
      <c r="K25" s="20" t="s">
        <v>103</v>
      </c>
      <c r="L25" s="21" t="s">
        <v>101</v>
      </c>
      <c r="M25" s="21" t="s">
        <v>102</v>
      </c>
      <c r="O25" s="22" t="s">
        <v>4</v>
      </c>
      <c r="P25" s="21" t="s">
        <v>101</v>
      </c>
      <c r="Q25" s="23">
        <f t="shared" si="2"/>
        <v>7250</v>
      </c>
      <c r="S25" s="21" t="s">
        <v>102</v>
      </c>
      <c r="T25" s="23">
        <f t="shared" si="3"/>
        <v>7250</v>
      </c>
    </row>
    <row r="26" ht="15.75" customHeight="1">
      <c r="B26" s="16">
        <f>((150*150)+75)+((150*151)+75)+((150*152)+75)+((150*153)+75)+((150*154)+75)+((150*155)+75)+((150*156)+75)+((150*157)+75)+((150*158)+75)+((150*159)+75)</f>
        <v>232500</v>
      </c>
      <c r="C26" s="17">
        <f t="shared" si="1"/>
        <v>3875</v>
      </c>
      <c r="D26" s="18">
        <f>ROUNDUP(B26/(E4*(1+E2+E3)),0)</f>
        <v>775</v>
      </c>
      <c r="E26" s="19" t="s">
        <v>104</v>
      </c>
      <c r="G26" s="20" t="s">
        <v>105</v>
      </c>
      <c r="H26" s="21" t="s">
        <v>106</v>
      </c>
      <c r="I26" s="21" t="s">
        <v>107</v>
      </c>
      <c r="K26" s="20" t="s">
        <v>108</v>
      </c>
      <c r="L26" s="21" t="s">
        <v>106</v>
      </c>
      <c r="M26" s="21" t="s">
        <v>107</v>
      </c>
      <c r="O26" s="22" t="s">
        <v>4</v>
      </c>
      <c r="P26" s="21" t="s">
        <v>106</v>
      </c>
      <c r="Q26" s="23">
        <f t="shared" si="2"/>
        <v>7750</v>
      </c>
      <c r="S26" s="21" t="s">
        <v>107</v>
      </c>
      <c r="T26" s="23">
        <f t="shared" si="3"/>
        <v>7750</v>
      </c>
    </row>
    <row r="27" ht="15.75" customHeight="1">
      <c r="B27" s="16">
        <f>((150*160)+75)+((150*161)+75)+((150*162)+75)+((150*163)+75)+((150*164)+75)+((150*165)+75)+((150*166)+75)+((150*167)+75)+((150*168)+75)+((150*169)+75)</f>
        <v>247500</v>
      </c>
      <c r="C27" s="17">
        <f t="shared" si="1"/>
        <v>4125</v>
      </c>
      <c r="D27" s="18">
        <f>ROUNDUP(B27/(E4*(1+E2+E3)),0)</f>
        <v>825</v>
      </c>
      <c r="E27" s="19" t="s">
        <v>109</v>
      </c>
      <c r="G27" s="20" t="s">
        <v>110</v>
      </c>
      <c r="H27" s="21"/>
      <c r="I27" s="21"/>
      <c r="K27" s="20" t="s">
        <v>111</v>
      </c>
      <c r="L27" s="21"/>
      <c r="M27" s="21"/>
      <c r="O27" s="22" t="s">
        <v>4</v>
      </c>
      <c r="P27" s="21"/>
      <c r="Q27" s="23">
        <f t="shared" si="2"/>
        <v>8250</v>
      </c>
      <c r="S27" s="21"/>
      <c r="T27" s="23">
        <f t="shared" si="3"/>
        <v>8250</v>
      </c>
    </row>
    <row r="28" ht="15.75" customHeight="1">
      <c r="B28" s="24"/>
    </row>
    <row r="29" ht="15.75" customHeight="1">
      <c r="B29" s="7"/>
    </row>
    <row r="30" ht="15.75" customHeight="1">
      <c r="B30" s="7"/>
      <c r="G30" s="12" t="s">
        <v>112</v>
      </c>
    </row>
    <row r="31" ht="15.75" customHeight="1">
      <c r="B31" s="7"/>
    </row>
    <row r="32" ht="15.75" customHeight="1">
      <c r="B32" s="7"/>
      <c r="G32" s="12" t="s">
        <v>113</v>
      </c>
      <c r="K32" s="12" t="s">
        <v>114</v>
      </c>
      <c r="P32" s="15" t="s">
        <v>115</v>
      </c>
    </row>
    <row r="33" ht="15.75" customHeight="1">
      <c r="B33" s="7"/>
      <c r="G33" s="2" t="s">
        <v>24</v>
      </c>
      <c r="H33" s="2" t="s">
        <v>25</v>
      </c>
      <c r="I33" s="2" t="s">
        <v>26</v>
      </c>
      <c r="K33" s="2" t="s">
        <v>24</v>
      </c>
      <c r="L33" s="2" t="s">
        <v>25</v>
      </c>
      <c r="M33" s="2" t="s">
        <v>26</v>
      </c>
      <c r="P33" s="7" t="s">
        <v>27</v>
      </c>
    </row>
    <row r="34" ht="15.75" customHeight="1">
      <c r="B34" s="24"/>
      <c r="E34" s="2" t="s">
        <v>28</v>
      </c>
      <c r="G34" s="20" t="s">
        <v>116</v>
      </c>
      <c r="H34" s="21" t="s">
        <v>117</v>
      </c>
      <c r="I34" s="21" t="s">
        <v>118</v>
      </c>
      <c r="K34" s="20" t="s">
        <v>119</v>
      </c>
      <c r="L34" s="21" t="s">
        <v>117</v>
      </c>
      <c r="M34" s="21" t="s">
        <v>118</v>
      </c>
      <c r="O34" s="22" t="s">
        <v>4</v>
      </c>
      <c r="P34" s="21" t="s">
        <v>117</v>
      </c>
      <c r="Q34" s="23">
        <f t="shared" ref="Q34:Q50" si="4">C11*2</f>
        <v>250</v>
      </c>
      <c r="S34" s="21" t="s">
        <v>118</v>
      </c>
      <c r="T34" s="23">
        <f t="shared" ref="T34:T50" si="5">C11*2</f>
        <v>250</v>
      </c>
    </row>
    <row r="35" ht="15.75" customHeight="1">
      <c r="B35" s="7"/>
      <c r="E35" s="2" t="s">
        <v>33</v>
      </c>
      <c r="G35" s="20" t="s">
        <v>120</v>
      </c>
      <c r="H35" s="21" t="s">
        <v>121</v>
      </c>
      <c r="I35" s="21" t="s">
        <v>122</v>
      </c>
      <c r="K35" s="20" t="s">
        <v>123</v>
      </c>
      <c r="L35" s="21" t="s">
        <v>121</v>
      </c>
      <c r="M35" s="21" t="s">
        <v>122</v>
      </c>
      <c r="O35" s="22" t="s">
        <v>4</v>
      </c>
      <c r="P35" s="21" t="s">
        <v>121</v>
      </c>
      <c r="Q35" s="23">
        <f t="shared" si="4"/>
        <v>750</v>
      </c>
      <c r="S35" s="21" t="s">
        <v>122</v>
      </c>
      <c r="T35" s="23">
        <f t="shared" si="5"/>
        <v>750</v>
      </c>
    </row>
    <row r="36" ht="15.75" customHeight="1">
      <c r="B36" s="7"/>
      <c r="E36" s="2" t="s">
        <v>38</v>
      </c>
      <c r="G36" s="20" t="s">
        <v>124</v>
      </c>
      <c r="H36" s="21" t="s">
        <v>125</v>
      </c>
      <c r="I36" s="21" t="s">
        <v>126</v>
      </c>
      <c r="K36" s="20" t="s">
        <v>127</v>
      </c>
      <c r="L36" s="21" t="s">
        <v>125</v>
      </c>
      <c r="M36" s="21" t="s">
        <v>126</v>
      </c>
      <c r="O36" s="22" t="s">
        <v>4</v>
      </c>
      <c r="P36" s="21" t="s">
        <v>125</v>
      </c>
      <c r="Q36" s="23">
        <f t="shared" si="4"/>
        <v>1250</v>
      </c>
      <c r="S36" s="21" t="s">
        <v>126</v>
      </c>
      <c r="T36" s="23">
        <f t="shared" si="5"/>
        <v>1250</v>
      </c>
    </row>
    <row r="37" ht="15.75" customHeight="1">
      <c r="B37" s="7"/>
      <c r="E37" s="2" t="s">
        <v>43</v>
      </c>
      <c r="G37" s="20" t="s">
        <v>128</v>
      </c>
      <c r="H37" s="21" t="s">
        <v>129</v>
      </c>
      <c r="I37" s="21" t="s">
        <v>130</v>
      </c>
      <c r="K37" s="20" t="s">
        <v>131</v>
      </c>
      <c r="L37" s="21" t="s">
        <v>129</v>
      </c>
      <c r="M37" s="21" t="s">
        <v>130</v>
      </c>
      <c r="O37" s="22" t="s">
        <v>4</v>
      </c>
      <c r="P37" s="21" t="s">
        <v>129</v>
      </c>
      <c r="Q37" s="23">
        <f t="shared" si="4"/>
        <v>1750</v>
      </c>
      <c r="S37" s="21" t="s">
        <v>130</v>
      </c>
      <c r="T37" s="23">
        <f t="shared" si="5"/>
        <v>1750</v>
      </c>
    </row>
    <row r="38" ht="15.75" customHeight="1">
      <c r="B38" s="7"/>
      <c r="E38" s="2" t="s">
        <v>49</v>
      </c>
      <c r="G38" s="20" t="s">
        <v>132</v>
      </c>
      <c r="H38" s="21" t="s">
        <v>133</v>
      </c>
      <c r="I38" s="21" t="s">
        <v>134</v>
      </c>
      <c r="K38" s="20" t="s">
        <v>135</v>
      </c>
      <c r="L38" s="21" t="s">
        <v>133</v>
      </c>
      <c r="M38" s="21" t="s">
        <v>134</v>
      </c>
      <c r="O38" s="22" t="s">
        <v>4</v>
      </c>
      <c r="P38" s="21" t="s">
        <v>133</v>
      </c>
      <c r="Q38" s="23">
        <f t="shared" si="4"/>
        <v>2250</v>
      </c>
      <c r="S38" s="21" t="s">
        <v>134</v>
      </c>
      <c r="T38" s="23">
        <f t="shared" si="5"/>
        <v>2250</v>
      </c>
    </row>
    <row r="39" ht="15.75" customHeight="1">
      <c r="B39" s="24"/>
      <c r="E39" s="2" t="s">
        <v>54</v>
      </c>
      <c r="G39" s="20" t="s">
        <v>136</v>
      </c>
      <c r="H39" s="21" t="s">
        <v>137</v>
      </c>
      <c r="I39" s="21" t="s">
        <v>138</v>
      </c>
      <c r="K39" s="20" t="s">
        <v>139</v>
      </c>
      <c r="L39" s="21" t="s">
        <v>137</v>
      </c>
      <c r="M39" s="21" t="s">
        <v>138</v>
      </c>
      <c r="O39" s="22" t="s">
        <v>4</v>
      </c>
      <c r="P39" s="21" t="s">
        <v>137</v>
      </c>
      <c r="Q39" s="23">
        <f t="shared" si="4"/>
        <v>2750</v>
      </c>
      <c r="S39" s="21" t="s">
        <v>138</v>
      </c>
      <c r="T39" s="23">
        <f t="shared" si="5"/>
        <v>2750</v>
      </c>
    </row>
    <row r="40" ht="15.75" customHeight="1">
      <c r="B40" s="7"/>
      <c r="E40" s="2" t="s">
        <v>59</v>
      </c>
      <c r="G40" s="20" t="s">
        <v>140</v>
      </c>
      <c r="H40" s="21" t="s">
        <v>141</v>
      </c>
      <c r="I40" s="21" t="s">
        <v>142</v>
      </c>
      <c r="K40" s="20" t="s">
        <v>143</v>
      </c>
      <c r="L40" s="21" t="s">
        <v>141</v>
      </c>
      <c r="M40" s="21" t="s">
        <v>142</v>
      </c>
      <c r="O40" s="22" t="s">
        <v>4</v>
      </c>
      <c r="P40" s="21" t="s">
        <v>141</v>
      </c>
      <c r="Q40" s="23">
        <f t="shared" si="4"/>
        <v>3250</v>
      </c>
      <c r="S40" s="21" t="s">
        <v>142</v>
      </c>
      <c r="T40" s="23">
        <f t="shared" si="5"/>
        <v>3250</v>
      </c>
    </row>
    <row r="41" ht="15.75" customHeight="1">
      <c r="B41" s="7"/>
      <c r="E41" s="2" t="s">
        <v>64</v>
      </c>
      <c r="G41" s="20" t="s">
        <v>144</v>
      </c>
      <c r="H41" s="21" t="s">
        <v>145</v>
      </c>
      <c r="I41" s="21" t="s">
        <v>146</v>
      </c>
      <c r="K41" s="20" t="s">
        <v>147</v>
      </c>
      <c r="L41" s="21" t="s">
        <v>145</v>
      </c>
      <c r="M41" s="21" t="s">
        <v>146</v>
      </c>
      <c r="O41" s="22" t="s">
        <v>4</v>
      </c>
      <c r="P41" s="21" t="s">
        <v>145</v>
      </c>
      <c r="Q41" s="23">
        <f t="shared" si="4"/>
        <v>3750</v>
      </c>
      <c r="S41" s="21" t="s">
        <v>146</v>
      </c>
      <c r="T41" s="23">
        <f t="shared" si="5"/>
        <v>3750</v>
      </c>
    </row>
    <row r="42" ht="15.75" customHeight="1">
      <c r="B42" s="7"/>
      <c r="E42" s="2" t="s">
        <v>69</v>
      </c>
      <c r="G42" s="20" t="s">
        <v>148</v>
      </c>
      <c r="H42" s="21" t="s">
        <v>149</v>
      </c>
      <c r="I42" s="21" t="s">
        <v>150</v>
      </c>
      <c r="K42" s="20" t="s">
        <v>151</v>
      </c>
      <c r="L42" s="21" t="s">
        <v>149</v>
      </c>
      <c r="M42" s="21" t="s">
        <v>150</v>
      </c>
      <c r="O42" s="22" t="s">
        <v>4</v>
      </c>
      <c r="P42" s="21" t="s">
        <v>149</v>
      </c>
      <c r="Q42" s="23">
        <f t="shared" si="4"/>
        <v>4250</v>
      </c>
      <c r="S42" s="21" t="s">
        <v>150</v>
      </c>
      <c r="T42" s="23">
        <f t="shared" si="5"/>
        <v>4250</v>
      </c>
    </row>
    <row r="43" ht="15.75" customHeight="1">
      <c r="B43" s="24"/>
      <c r="E43" s="2" t="s">
        <v>74</v>
      </c>
      <c r="G43" s="20" t="s">
        <v>152</v>
      </c>
      <c r="H43" s="21" t="s">
        <v>153</v>
      </c>
      <c r="I43" s="21" t="s">
        <v>154</v>
      </c>
      <c r="K43" s="20" t="s">
        <v>155</v>
      </c>
      <c r="L43" s="21" t="s">
        <v>153</v>
      </c>
      <c r="M43" s="21" t="s">
        <v>154</v>
      </c>
      <c r="O43" s="22" t="s">
        <v>4</v>
      </c>
      <c r="P43" s="21" t="s">
        <v>153</v>
      </c>
      <c r="Q43" s="23">
        <f t="shared" si="4"/>
        <v>4750</v>
      </c>
      <c r="S43" s="21" t="s">
        <v>154</v>
      </c>
      <c r="T43" s="23">
        <f t="shared" si="5"/>
        <v>4750</v>
      </c>
    </row>
    <row r="44" ht="15.75" customHeight="1">
      <c r="B44" s="7"/>
      <c r="E44" s="2" t="s">
        <v>79</v>
      </c>
      <c r="G44" s="20" t="s">
        <v>156</v>
      </c>
      <c r="H44" s="21" t="s">
        <v>157</v>
      </c>
      <c r="I44" s="21" t="s">
        <v>158</v>
      </c>
      <c r="K44" s="20" t="s">
        <v>159</v>
      </c>
      <c r="L44" s="21" t="s">
        <v>157</v>
      </c>
      <c r="M44" s="21" t="s">
        <v>158</v>
      </c>
      <c r="O44" s="22" t="s">
        <v>4</v>
      </c>
      <c r="P44" s="21" t="s">
        <v>157</v>
      </c>
      <c r="Q44" s="23">
        <f t="shared" si="4"/>
        <v>5250</v>
      </c>
      <c r="S44" s="21" t="s">
        <v>158</v>
      </c>
      <c r="T44" s="23">
        <f t="shared" si="5"/>
        <v>5250</v>
      </c>
    </row>
    <row r="45" ht="15.75" customHeight="1">
      <c r="B45" s="7"/>
      <c r="E45" s="2" t="s">
        <v>84</v>
      </c>
      <c r="G45" s="20" t="s">
        <v>160</v>
      </c>
      <c r="H45" s="21" t="s">
        <v>161</v>
      </c>
      <c r="I45" s="21" t="s">
        <v>162</v>
      </c>
      <c r="K45" s="20" t="s">
        <v>163</v>
      </c>
      <c r="L45" s="21" t="s">
        <v>161</v>
      </c>
      <c r="M45" s="21" t="s">
        <v>162</v>
      </c>
      <c r="O45" s="22" t="s">
        <v>4</v>
      </c>
      <c r="P45" s="21" t="s">
        <v>161</v>
      </c>
      <c r="Q45" s="23">
        <f t="shared" si="4"/>
        <v>5750</v>
      </c>
      <c r="S45" s="21" t="s">
        <v>162</v>
      </c>
      <c r="T45" s="23">
        <f t="shared" si="5"/>
        <v>5750</v>
      </c>
    </row>
    <row r="46" ht="15.75" customHeight="1">
      <c r="B46" s="7"/>
      <c r="E46" s="2" t="s">
        <v>89</v>
      </c>
      <c r="G46" s="20" t="s">
        <v>164</v>
      </c>
      <c r="H46" s="21" t="s">
        <v>165</v>
      </c>
      <c r="I46" s="21" t="s">
        <v>166</v>
      </c>
      <c r="K46" s="20" t="s">
        <v>167</v>
      </c>
      <c r="L46" s="21" t="s">
        <v>165</v>
      </c>
      <c r="M46" s="21" t="s">
        <v>166</v>
      </c>
      <c r="O46" s="22" t="s">
        <v>4</v>
      </c>
      <c r="P46" s="21" t="s">
        <v>165</v>
      </c>
      <c r="Q46" s="23">
        <f t="shared" si="4"/>
        <v>6250</v>
      </c>
      <c r="S46" s="21" t="s">
        <v>166</v>
      </c>
      <c r="T46" s="23">
        <f t="shared" si="5"/>
        <v>6250</v>
      </c>
    </row>
    <row r="47" ht="15.75" customHeight="1">
      <c r="B47" s="24"/>
      <c r="E47" s="2" t="s">
        <v>94</v>
      </c>
      <c r="G47" s="20" t="s">
        <v>168</v>
      </c>
      <c r="H47" s="21" t="s">
        <v>169</v>
      </c>
      <c r="I47" s="21" t="s">
        <v>170</v>
      </c>
      <c r="K47" s="20" t="s">
        <v>171</v>
      </c>
      <c r="L47" s="21" t="s">
        <v>169</v>
      </c>
      <c r="M47" s="21" t="s">
        <v>170</v>
      </c>
      <c r="O47" s="22" t="s">
        <v>4</v>
      </c>
      <c r="P47" s="21" t="s">
        <v>169</v>
      </c>
      <c r="Q47" s="23">
        <f t="shared" si="4"/>
        <v>6750</v>
      </c>
      <c r="S47" s="21" t="s">
        <v>170</v>
      </c>
      <c r="T47" s="23">
        <f t="shared" si="5"/>
        <v>6750</v>
      </c>
    </row>
    <row r="48" ht="15.75" customHeight="1">
      <c r="B48" s="7"/>
      <c r="E48" s="2" t="s">
        <v>99</v>
      </c>
      <c r="G48" s="20" t="s">
        <v>172</v>
      </c>
      <c r="H48" s="21" t="s">
        <v>173</v>
      </c>
      <c r="I48" s="21" t="s">
        <v>174</v>
      </c>
      <c r="K48" s="20" t="s">
        <v>175</v>
      </c>
      <c r="L48" s="21" t="s">
        <v>173</v>
      </c>
      <c r="M48" s="21" t="s">
        <v>174</v>
      </c>
      <c r="O48" s="22" t="s">
        <v>4</v>
      </c>
      <c r="P48" s="21" t="s">
        <v>173</v>
      </c>
      <c r="Q48" s="23">
        <f t="shared" si="4"/>
        <v>7250</v>
      </c>
      <c r="S48" s="21" t="s">
        <v>174</v>
      </c>
      <c r="T48" s="23">
        <f t="shared" si="5"/>
        <v>7250</v>
      </c>
    </row>
    <row r="49" ht="15.75" customHeight="1">
      <c r="B49" s="7"/>
      <c r="E49" s="2" t="s">
        <v>104</v>
      </c>
      <c r="G49" s="20" t="s">
        <v>176</v>
      </c>
      <c r="H49" s="21" t="s">
        <v>177</v>
      </c>
      <c r="I49" s="21" t="s">
        <v>178</v>
      </c>
      <c r="K49" s="20" t="s">
        <v>179</v>
      </c>
      <c r="L49" s="21" t="s">
        <v>177</v>
      </c>
      <c r="M49" s="21" t="s">
        <v>178</v>
      </c>
      <c r="O49" s="22" t="s">
        <v>4</v>
      </c>
      <c r="P49" s="21" t="s">
        <v>177</v>
      </c>
      <c r="Q49" s="23">
        <f t="shared" si="4"/>
        <v>7750</v>
      </c>
      <c r="S49" s="21" t="s">
        <v>178</v>
      </c>
      <c r="T49" s="23">
        <f t="shared" si="5"/>
        <v>7750</v>
      </c>
    </row>
    <row r="50" ht="15.75" customHeight="1">
      <c r="B50" s="7"/>
      <c r="E50" s="2" t="s">
        <v>109</v>
      </c>
      <c r="G50" s="20" t="s">
        <v>180</v>
      </c>
      <c r="H50" s="21"/>
      <c r="I50" s="21"/>
      <c r="K50" s="20" t="s">
        <v>181</v>
      </c>
      <c r="L50" s="21"/>
      <c r="M50" s="21"/>
      <c r="O50" s="22" t="s">
        <v>4</v>
      </c>
      <c r="P50" s="21"/>
      <c r="Q50" s="23">
        <f t="shared" si="4"/>
        <v>8250</v>
      </c>
      <c r="S50" s="21"/>
      <c r="T50" s="23">
        <f t="shared" si="5"/>
        <v>8250</v>
      </c>
    </row>
    <row r="51" ht="15.75" customHeight="1">
      <c r="B51" s="7"/>
    </row>
    <row r="52" ht="15.75" customHeight="1">
      <c r="B52" s="7"/>
      <c r="G52" s="9" t="s">
        <v>182</v>
      </c>
    </row>
    <row r="53" ht="15.75" customHeight="1">
      <c r="B53" s="24"/>
    </row>
    <row r="54" ht="15.75" customHeight="1">
      <c r="B54" s="7"/>
      <c r="G54" s="12" t="s">
        <v>183</v>
      </c>
      <c r="H54" s="7" t="s">
        <v>184</v>
      </c>
      <c r="K54" s="2"/>
      <c r="O54" s="2" t="s">
        <v>185</v>
      </c>
    </row>
    <row r="55" ht="15.75" customHeight="1">
      <c r="B55" s="7"/>
      <c r="G55" s="2" t="s">
        <v>24</v>
      </c>
      <c r="H55" s="2" t="s">
        <v>25</v>
      </c>
      <c r="I55" s="2" t="s">
        <v>26</v>
      </c>
      <c r="J55" s="2"/>
      <c r="K55" s="2" t="s">
        <v>186</v>
      </c>
      <c r="L55" s="2" t="s">
        <v>187</v>
      </c>
      <c r="M55" s="2" t="s">
        <v>188</v>
      </c>
    </row>
    <row r="56" ht="15.75" customHeight="1">
      <c r="B56" s="7"/>
      <c r="E56" s="2" t="s">
        <v>28</v>
      </c>
      <c r="G56" s="20" t="s">
        <v>189</v>
      </c>
      <c r="H56" s="21" t="s">
        <v>190</v>
      </c>
      <c r="I56" s="21" t="s">
        <v>191</v>
      </c>
      <c r="J56" s="6"/>
      <c r="K56" s="23">
        <f t="shared" ref="K56:K72" si="6">M56*5</f>
        <v>65</v>
      </c>
      <c r="L56" s="6">
        <f t="shared" ref="L56:L72" si="7">M56*3</f>
        <v>39</v>
      </c>
      <c r="M56" s="7">
        <f>ROUNDUP(B11/((E4+Q59)*(1+E2)*(1+E3)),0)</f>
        <v>13</v>
      </c>
      <c r="O56" s="6" t="s">
        <v>192</v>
      </c>
    </row>
    <row r="57" ht="15.75" customHeight="1">
      <c r="B57" s="24"/>
      <c r="E57" s="2" t="s">
        <v>33</v>
      </c>
      <c r="G57" s="20" t="s">
        <v>193</v>
      </c>
      <c r="H57" s="21" t="s">
        <v>194</v>
      </c>
      <c r="I57" s="21" t="s">
        <v>195</v>
      </c>
      <c r="J57" s="6"/>
      <c r="K57" s="23">
        <f t="shared" si="6"/>
        <v>190</v>
      </c>
      <c r="L57" s="6">
        <f t="shared" si="7"/>
        <v>114</v>
      </c>
      <c r="M57" s="7">
        <f>ROUNDUP(B12/((E4+Q59)*(1+E2)*(1+E3)),0)</f>
        <v>38</v>
      </c>
      <c r="O57" s="7" t="s">
        <v>196</v>
      </c>
    </row>
    <row r="58" ht="15.75" customHeight="1">
      <c r="B58" s="7"/>
      <c r="E58" s="2" t="s">
        <v>38</v>
      </c>
      <c r="G58" s="20" t="s">
        <v>197</v>
      </c>
      <c r="H58" s="21" t="s">
        <v>198</v>
      </c>
      <c r="I58" s="21" t="s">
        <v>199</v>
      </c>
      <c r="J58" s="6"/>
      <c r="K58" s="23">
        <f t="shared" si="6"/>
        <v>315</v>
      </c>
      <c r="L58" s="6">
        <f t="shared" si="7"/>
        <v>189</v>
      </c>
      <c r="M58" s="7">
        <f>ROUNDUP(B13/((E4+Q59)*(1+E2)*(1+E3)),0)</f>
        <v>63</v>
      </c>
      <c r="O58" s="7" t="s">
        <v>200</v>
      </c>
    </row>
    <row r="59" ht="15.75" customHeight="1">
      <c r="B59" s="7"/>
      <c r="E59" s="2" t="s">
        <v>43</v>
      </c>
      <c r="G59" s="20" t="s">
        <v>201</v>
      </c>
      <c r="H59" s="21" t="s">
        <v>202</v>
      </c>
      <c r="I59" s="21" t="s">
        <v>203</v>
      </c>
      <c r="J59" s="6"/>
      <c r="K59" s="23">
        <f t="shared" si="6"/>
        <v>440</v>
      </c>
      <c r="L59" s="6">
        <f t="shared" si="7"/>
        <v>264</v>
      </c>
      <c r="M59" s="7">
        <f>ROUNDUP(B14/((E4+Q59)*(1+E2)*(1+E3)),0)</f>
        <v>88</v>
      </c>
      <c r="P59" s="2" t="s">
        <v>204</v>
      </c>
      <c r="Q59" s="25">
        <v>300.0</v>
      </c>
    </row>
    <row r="60" ht="15.75" customHeight="1">
      <c r="B60" s="7"/>
      <c r="E60" s="2" t="s">
        <v>49</v>
      </c>
      <c r="G60" s="20" t="s">
        <v>205</v>
      </c>
      <c r="H60" s="21" t="s">
        <v>206</v>
      </c>
      <c r="I60" s="21" t="s">
        <v>207</v>
      </c>
      <c r="J60" s="6"/>
      <c r="K60" s="23">
        <f t="shared" si="6"/>
        <v>565</v>
      </c>
      <c r="L60" s="6">
        <f t="shared" si="7"/>
        <v>339</v>
      </c>
      <c r="M60" s="7">
        <f>ROUNDUP(B15/((E4+Q59)*(1+E2)*(1+E3)),0)</f>
        <v>113</v>
      </c>
      <c r="O60" s="2" t="s">
        <v>208</v>
      </c>
      <c r="P60" s="7" t="s">
        <v>209</v>
      </c>
      <c r="Q60" s="6"/>
    </row>
    <row r="61" ht="15.75" customHeight="1">
      <c r="E61" s="2" t="s">
        <v>54</v>
      </c>
      <c r="G61" s="20" t="s">
        <v>210</v>
      </c>
      <c r="H61" s="21" t="s">
        <v>211</v>
      </c>
      <c r="I61" s="21" t="s">
        <v>212</v>
      </c>
      <c r="J61" s="6"/>
      <c r="K61" s="23">
        <f t="shared" si="6"/>
        <v>690</v>
      </c>
      <c r="L61" s="6">
        <f t="shared" si="7"/>
        <v>414</v>
      </c>
      <c r="M61" s="7">
        <f>ROUNDUP(B16/((E4+Q59)*(1+E2)*(1+E3)),0)</f>
        <v>138</v>
      </c>
    </row>
    <row r="62" ht="15.75" customHeight="1">
      <c r="E62" s="2" t="s">
        <v>59</v>
      </c>
      <c r="G62" s="20" t="s">
        <v>213</v>
      </c>
      <c r="H62" s="21" t="s">
        <v>214</v>
      </c>
      <c r="I62" s="21" t="s">
        <v>215</v>
      </c>
      <c r="J62" s="6"/>
      <c r="K62" s="23">
        <f t="shared" si="6"/>
        <v>815</v>
      </c>
      <c r="L62" s="6">
        <f t="shared" si="7"/>
        <v>489</v>
      </c>
      <c r="M62" s="7">
        <f>ROUNDUP(B17/((E4+Q59)*(1+E2)*(1+E3)),0)</f>
        <v>163</v>
      </c>
      <c r="O62" s="11"/>
    </row>
    <row r="63" ht="15.75" customHeight="1">
      <c r="E63" s="2" t="s">
        <v>64</v>
      </c>
      <c r="G63" s="20" t="s">
        <v>216</v>
      </c>
      <c r="H63" s="21" t="s">
        <v>217</v>
      </c>
      <c r="I63" s="21" t="s">
        <v>218</v>
      </c>
      <c r="J63" s="6"/>
      <c r="K63" s="23">
        <f t="shared" si="6"/>
        <v>940</v>
      </c>
      <c r="L63" s="6">
        <f t="shared" si="7"/>
        <v>564</v>
      </c>
      <c r="M63" s="7">
        <f>ROUNDUP(B18/((E4+Q59)*(1+E2)*(1+E3)),0)</f>
        <v>188</v>
      </c>
    </row>
    <row r="64" ht="15.75" customHeight="1">
      <c r="E64" s="2" t="s">
        <v>69</v>
      </c>
      <c r="G64" s="20" t="s">
        <v>219</v>
      </c>
      <c r="H64" s="21" t="s">
        <v>220</v>
      </c>
      <c r="I64" s="21" t="s">
        <v>221</v>
      </c>
      <c r="J64" s="6"/>
      <c r="K64" s="23">
        <f t="shared" si="6"/>
        <v>1065</v>
      </c>
      <c r="L64" s="6">
        <f t="shared" si="7"/>
        <v>639</v>
      </c>
      <c r="M64" s="7">
        <f>ROUNDUP(B19/((E4+Q59)*(1+E2)*(1+E3)),0)</f>
        <v>213</v>
      </c>
    </row>
    <row r="65" ht="15.75" customHeight="1">
      <c r="E65" s="2" t="s">
        <v>74</v>
      </c>
      <c r="G65" s="20" t="s">
        <v>222</v>
      </c>
      <c r="H65" s="21" t="s">
        <v>223</v>
      </c>
      <c r="I65" s="21" t="s">
        <v>224</v>
      </c>
      <c r="J65" s="6"/>
      <c r="K65" s="23">
        <f t="shared" si="6"/>
        <v>1190</v>
      </c>
      <c r="L65" s="6">
        <f t="shared" si="7"/>
        <v>714</v>
      </c>
      <c r="M65" s="7">
        <f>ROUNDUP(B20/((E4+Q59)*(1+E2)*(1+E3)),0)</f>
        <v>238</v>
      </c>
    </row>
    <row r="66" ht="15.75" customHeight="1">
      <c r="E66" s="2" t="s">
        <v>79</v>
      </c>
      <c r="G66" s="20" t="s">
        <v>225</v>
      </c>
      <c r="H66" s="21" t="s">
        <v>226</v>
      </c>
      <c r="I66" s="21" t="s">
        <v>227</v>
      </c>
      <c r="J66" s="6"/>
      <c r="K66" s="23">
        <f t="shared" si="6"/>
        <v>1315</v>
      </c>
      <c r="L66" s="6">
        <f t="shared" si="7"/>
        <v>789</v>
      </c>
      <c r="M66" s="7">
        <f>ROUNDUP(B21/((E4+Q59)*(1+E2)*(1+E3)),0)</f>
        <v>263</v>
      </c>
    </row>
    <row r="67" ht="15.75" customHeight="1">
      <c r="E67" s="2" t="s">
        <v>84</v>
      </c>
      <c r="G67" s="20" t="s">
        <v>228</v>
      </c>
      <c r="H67" s="21" t="s">
        <v>229</v>
      </c>
      <c r="I67" s="21" t="s">
        <v>230</v>
      </c>
      <c r="J67" s="6"/>
      <c r="K67" s="23">
        <f t="shared" si="6"/>
        <v>1440</v>
      </c>
      <c r="L67" s="6">
        <f t="shared" si="7"/>
        <v>864</v>
      </c>
      <c r="M67" s="7">
        <f>ROUNDUP(B22/((E4+Q59)*(1+E2)*(1+E3)),0)</f>
        <v>288</v>
      </c>
    </row>
    <row r="68" ht="15.75" customHeight="1">
      <c r="E68" s="2" t="s">
        <v>89</v>
      </c>
      <c r="G68" s="20" t="s">
        <v>231</v>
      </c>
      <c r="H68" s="21" t="s">
        <v>232</v>
      </c>
      <c r="I68" s="21" t="s">
        <v>233</v>
      </c>
      <c r="J68" s="6"/>
      <c r="K68" s="23">
        <f t="shared" si="6"/>
        <v>1565</v>
      </c>
      <c r="L68" s="6">
        <f t="shared" si="7"/>
        <v>939</v>
      </c>
      <c r="M68" s="7">
        <f>ROUNDUP(B23/((E4+Q59)*(1+E2)*(1+E3)),0)</f>
        <v>313</v>
      </c>
    </row>
    <row r="69" ht="15.75" customHeight="1">
      <c r="E69" s="2" t="s">
        <v>94</v>
      </c>
      <c r="G69" s="20" t="s">
        <v>234</v>
      </c>
      <c r="H69" s="21" t="s">
        <v>235</v>
      </c>
      <c r="I69" s="21" t="s">
        <v>236</v>
      </c>
      <c r="J69" s="6"/>
      <c r="K69" s="23">
        <f t="shared" si="6"/>
        <v>1690</v>
      </c>
      <c r="L69" s="6">
        <f t="shared" si="7"/>
        <v>1014</v>
      </c>
      <c r="M69" s="7">
        <f>ROUNDUP(B24/((E4+Q59)*(1+E2)*(1+E3)),0)</f>
        <v>338</v>
      </c>
    </row>
    <row r="70" ht="15.75" customHeight="1">
      <c r="E70" s="2" t="s">
        <v>99</v>
      </c>
      <c r="G70" s="20" t="s">
        <v>237</v>
      </c>
      <c r="H70" s="21" t="s">
        <v>238</v>
      </c>
      <c r="I70" s="21" t="s">
        <v>239</v>
      </c>
      <c r="K70" s="23">
        <f t="shared" si="6"/>
        <v>1815</v>
      </c>
      <c r="L70" s="6">
        <f t="shared" si="7"/>
        <v>1089</v>
      </c>
      <c r="M70" s="7">
        <f>ROUNDUP(B25/((E4+Q59)*(1+E2)*(1+E3)),0)</f>
        <v>363</v>
      </c>
    </row>
    <row r="71" ht="15.75" customHeight="1">
      <c r="E71" s="2" t="s">
        <v>104</v>
      </c>
      <c r="G71" s="20" t="s">
        <v>240</v>
      </c>
      <c r="H71" s="21" t="s">
        <v>241</v>
      </c>
      <c r="I71" s="21" t="s">
        <v>242</v>
      </c>
      <c r="K71" s="23">
        <f t="shared" si="6"/>
        <v>1940</v>
      </c>
      <c r="L71" s="6">
        <f t="shared" si="7"/>
        <v>1164</v>
      </c>
      <c r="M71" s="7">
        <f>ROUNDUP(B26/((E4+Q59)*(1+E2)*(1+E3)),0)</f>
        <v>388</v>
      </c>
    </row>
    <row r="72" ht="15.75" customHeight="1">
      <c r="E72" s="2" t="s">
        <v>109</v>
      </c>
      <c r="G72" s="20" t="s">
        <v>243</v>
      </c>
      <c r="H72" s="21"/>
      <c r="I72" s="21"/>
      <c r="K72" s="23">
        <f t="shared" si="6"/>
        <v>2065</v>
      </c>
      <c r="L72" s="6">
        <f t="shared" si="7"/>
        <v>1239</v>
      </c>
      <c r="M72" s="7">
        <f>ROUNDUP(B27/((E4+Q59)*(1+E2)*(1+E3)),0)</f>
        <v>413</v>
      </c>
      <c r="O72" s="26"/>
    </row>
    <row r="73" ht="15.75" customHeight="1">
      <c r="G73" s="12"/>
      <c r="H73" s="7"/>
      <c r="K73" s="2"/>
      <c r="L73" s="6"/>
    </row>
    <row r="74" ht="15.75" customHeight="1">
      <c r="G74" s="12"/>
      <c r="H74" s="7"/>
      <c r="K74" s="2"/>
      <c r="L74" s="27">
        <f>SUM(L59:L72)</f>
        <v>10521</v>
      </c>
      <c r="M74" s="7" t="s">
        <v>244</v>
      </c>
    </row>
    <row r="75" ht="15.75" customHeight="1">
      <c r="G75" s="12"/>
      <c r="H75" s="7"/>
      <c r="K75" s="2"/>
    </row>
    <row r="76" ht="15.75" customHeight="1">
      <c r="G76" s="12" t="s">
        <v>245</v>
      </c>
      <c r="H76" s="7" t="s">
        <v>246</v>
      </c>
      <c r="K76" s="2"/>
    </row>
    <row r="77" ht="15.75" customHeight="1">
      <c r="G77" s="2" t="s">
        <v>24</v>
      </c>
      <c r="H77" s="2" t="s">
        <v>247</v>
      </c>
      <c r="I77" s="2" t="s">
        <v>248</v>
      </c>
      <c r="K77" s="2" t="s">
        <v>186</v>
      </c>
      <c r="L77" s="2" t="s">
        <v>188</v>
      </c>
    </row>
    <row r="78" ht="15.75" customHeight="1">
      <c r="E78" s="2" t="s">
        <v>28</v>
      </c>
      <c r="G78" s="20" t="s">
        <v>249</v>
      </c>
      <c r="H78" s="21" t="s">
        <v>250</v>
      </c>
      <c r="I78" s="21" t="s">
        <v>251</v>
      </c>
      <c r="K78" s="23">
        <f t="shared" ref="K78:L78" si="8">C11</f>
        <v>125</v>
      </c>
      <c r="L78" s="7">
        <f t="shared" si="8"/>
        <v>25</v>
      </c>
    </row>
    <row r="79" ht="15.75" customHeight="1">
      <c r="E79" s="2" t="s">
        <v>33</v>
      </c>
      <c r="G79" s="20" t="s">
        <v>252</v>
      </c>
      <c r="H79" s="21" t="s">
        <v>253</v>
      </c>
      <c r="I79" s="21" t="s">
        <v>254</v>
      </c>
      <c r="K79" s="23">
        <f t="shared" ref="K79:L79" si="9">C12</f>
        <v>375</v>
      </c>
      <c r="L79" s="7">
        <f t="shared" si="9"/>
        <v>75</v>
      </c>
    </row>
    <row r="80" ht="15.75" customHeight="1">
      <c r="E80" s="2" t="s">
        <v>38</v>
      </c>
      <c r="G80" s="20" t="s">
        <v>255</v>
      </c>
      <c r="H80" s="21" t="s">
        <v>256</v>
      </c>
      <c r="I80" s="21" t="s">
        <v>257</v>
      </c>
      <c r="K80" s="23">
        <f t="shared" ref="K80:L80" si="10">C13</f>
        <v>625</v>
      </c>
      <c r="L80" s="7">
        <f t="shared" si="10"/>
        <v>125</v>
      </c>
    </row>
    <row r="81" ht="15.75" customHeight="1">
      <c r="E81" s="2" t="s">
        <v>43</v>
      </c>
      <c r="G81" s="20" t="s">
        <v>258</v>
      </c>
      <c r="H81" s="21" t="s">
        <v>259</v>
      </c>
      <c r="I81" s="21" t="s">
        <v>260</v>
      </c>
      <c r="K81" s="23">
        <f t="shared" ref="K81:L81" si="11">C14</f>
        <v>875</v>
      </c>
      <c r="L81" s="7">
        <f t="shared" si="11"/>
        <v>175</v>
      </c>
    </row>
    <row r="82" ht="15.75" customHeight="1">
      <c r="E82" s="2" t="s">
        <v>49</v>
      </c>
      <c r="G82" s="20" t="s">
        <v>261</v>
      </c>
      <c r="H82" s="21" t="s">
        <v>262</v>
      </c>
      <c r="I82" s="21" t="s">
        <v>263</v>
      </c>
      <c r="K82" s="23">
        <f t="shared" ref="K82:L82" si="12">C15</f>
        <v>1125</v>
      </c>
      <c r="L82" s="7">
        <f t="shared" si="12"/>
        <v>225</v>
      </c>
    </row>
    <row r="83" ht="15.75" customHeight="1">
      <c r="E83" s="2" t="s">
        <v>54</v>
      </c>
      <c r="G83" s="20" t="s">
        <v>264</v>
      </c>
      <c r="H83" s="21" t="s">
        <v>265</v>
      </c>
      <c r="I83" s="21" t="s">
        <v>266</v>
      </c>
      <c r="K83" s="23">
        <f t="shared" ref="K83:L83" si="13">C16</f>
        <v>1375</v>
      </c>
      <c r="L83" s="7">
        <f t="shared" si="13"/>
        <v>275</v>
      </c>
    </row>
    <row r="84" ht="15.75" customHeight="1">
      <c r="E84" s="2" t="s">
        <v>59</v>
      </c>
      <c r="G84" s="20" t="s">
        <v>267</v>
      </c>
      <c r="H84" s="21" t="s">
        <v>268</v>
      </c>
      <c r="I84" s="21" t="s">
        <v>269</v>
      </c>
      <c r="K84" s="23">
        <f t="shared" ref="K84:L84" si="14">C17</f>
        <v>1625</v>
      </c>
      <c r="L84" s="7">
        <f t="shared" si="14"/>
        <v>325</v>
      </c>
    </row>
    <row r="85" ht="15.75" customHeight="1">
      <c r="E85" s="2" t="s">
        <v>64</v>
      </c>
      <c r="G85" s="20" t="s">
        <v>270</v>
      </c>
      <c r="H85" s="21" t="s">
        <v>271</v>
      </c>
      <c r="I85" s="21" t="s">
        <v>272</v>
      </c>
      <c r="K85" s="23">
        <f t="shared" ref="K85:L85" si="15">C18</f>
        <v>1875</v>
      </c>
      <c r="L85" s="7">
        <f t="shared" si="15"/>
        <v>375</v>
      </c>
    </row>
    <row r="86" ht="15.75" customHeight="1">
      <c r="E86" s="2" t="s">
        <v>69</v>
      </c>
      <c r="G86" s="20" t="s">
        <v>273</v>
      </c>
      <c r="H86" s="21" t="s">
        <v>274</v>
      </c>
      <c r="I86" s="21" t="s">
        <v>275</v>
      </c>
      <c r="K86" s="23">
        <f t="shared" ref="K86:L86" si="16">C19</f>
        <v>2125</v>
      </c>
      <c r="L86" s="7">
        <f t="shared" si="16"/>
        <v>425</v>
      </c>
    </row>
    <row r="87" ht="15.75" customHeight="1">
      <c r="E87" s="2" t="s">
        <v>74</v>
      </c>
      <c r="G87" s="20" t="s">
        <v>276</v>
      </c>
      <c r="H87" s="21" t="s">
        <v>277</v>
      </c>
      <c r="I87" s="21" t="s">
        <v>278</v>
      </c>
      <c r="K87" s="23">
        <f t="shared" ref="K87:L87" si="17">C20</f>
        <v>2375</v>
      </c>
      <c r="L87" s="7">
        <f t="shared" si="17"/>
        <v>475</v>
      </c>
    </row>
    <row r="88" ht="15.75" customHeight="1">
      <c r="E88" s="2" t="s">
        <v>79</v>
      </c>
      <c r="G88" s="20" t="s">
        <v>279</v>
      </c>
      <c r="H88" s="21" t="s">
        <v>280</v>
      </c>
      <c r="I88" s="21" t="s">
        <v>281</v>
      </c>
      <c r="K88" s="23">
        <f t="shared" ref="K88:L88" si="18">C21</f>
        <v>2625</v>
      </c>
      <c r="L88" s="7">
        <f t="shared" si="18"/>
        <v>525</v>
      </c>
    </row>
    <row r="89" ht="15.75" customHeight="1">
      <c r="E89" s="2" t="s">
        <v>84</v>
      </c>
      <c r="G89" s="20" t="s">
        <v>282</v>
      </c>
      <c r="H89" s="21" t="s">
        <v>283</v>
      </c>
      <c r="I89" s="21" t="s">
        <v>284</v>
      </c>
      <c r="K89" s="23">
        <f t="shared" ref="K89:L89" si="19">C22</f>
        <v>2875</v>
      </c>
      <c r="L89" s="7">
        <f t="shared" si="19"/>
        <v>575</v>
      </c>
    </row>
    <row r="90" ht="15.75" customHeight="1">
      <c r="E90" s="2" t="s">
        <v>89</v>
      </c>
      <c r="G90" s="20" t="s">
        <v>285</v>
      </c>
      <c r="H90" s="21" t="s">
        <v>286</v>
      </c>
      <c r="I90" s="21" t="s">
        <v>287</v>
      </c>
      <c r="K90" s="23">
        <f t="shared" ref="K90:L90" si="20">C23</f>
        <v>3125</v>
      </c>
      <c r="L90" s="7">
        <f t="shared" si="20"/>
        <v>625</v>
      </c>
    </row>
    <row r="91" ht="15.75" customHeight="1">
      <c r="E91" s="2" t="s">
        <v>94</v>
      </c>
      <c r="G91" s="20" t="s">
        <v>288</v>
      </c>
      <c r="H91" s="21" t="s">
        <v>289</v>
      </c>
      <c r="I91" s="21" t="s">
        <v>290</v>
      </c>
      <c r="K91" s="23">
        <f t="shared" ref="K91:L91" si="21">C24</f>
        <v>3375</v>
      </c>
      <c r="L91" s="7">
        <f t="shared" si="21"/>
        <v>675</v>
      </c>
    </row>
    <row r="92" ht="15.75" customHeight="1">
      <c r="E92" s="2" t="s">
        <v>99</v>
      </c>
      <c r="G92" s="20" t="s">
        <v>291</v>
      </c>
      <c r="H92" s="21" t="s">
        <v>292</v>
      </c>
      <c r="I92" s="21" t="s">
        <v>293</v>
      </c>
      <c r="K92" s="23">
        <f t="shared" ref="K92:L92" si="22">C25</f>
        <v>3625</v>
      </c>
      <c r="L92" s="7">
        <f t="shared" si="22"/>
        <v>725</v>
      </c>
    </row>
    <row r="93" ht="15.75" customHeight="1">
      <c r="E93" s="2" t="s">
        <v>104</v>
      </c>
      <c r="G93" s="20" t="s">
        <v>294</v>
      </c>
      <c r="H93" s="21" t="s">
        <v>295</v>
      </c>
      <c r="I93" s="21" t="s">
        <v>296</v>
      </c>
      <c r="K93" s="23">
        <f t="shared" ref="K93:L93" si="23">C26</f>
        <v>3875</v>
      </c>
      <c r="L93" s="7">
        <f t="shared" si="23"/>
        <v>775</v>
      </c>
    </row>
    <row r="94" ht="15.75" customHeight="1">
      <c r="E94" s="2" t="s">
        <v>109</v>
      </c>
      <c r="G94" s="20" t="s">
        <v>297</v>
      </c>
      <c r="H94" s="21"/>
      <c r="I94" s="21"/>
      <c r="K94" s="23">
        <f t="shared" ref="K94:L94" si="24">C27</f>
        <v>4125</v>
      </c>
      <c r="L94" s="7">
        <f t="shared" si="24"/>
        <v>825</v>
      </c>
    </row>
    <row r="95" ht="15.75" customHeight="1"/>
    <row r="96" ht="15.75" customHeight="1">
      <c r="H96" s="7"/>
      <c r="O96" s="2" t="s">
        <v>185</v>
      </c>
    </row>
    <row r="97" ht="15.75" customHeight="1">
      <c r="G97" s="12" t="s">
        <v>298</v>
      </c>
      <c r="I97" s="7" t="s">
        <v>299</v>
      </c>
      <c r="K97" s="2"/>
    </row>
    <row r="98" ht="15.75" customHeight="1">
      <c r="G98" s="2" t="s">
        <v>24</v>
      </c>
      <c r="H98" s="2" t="s">
        <v>25</v>
      </c>
      <c r="I98" s="2" t="s">
        <v>26</v>
      </c>
      <c r="K98" s="2" t="s">
        <v>186</v>
      </c>
      <c r="L98" s="2" t="s">
        <v>188</v>
      </c>
      <c r="O98" s="7" t="s">
        <v>300</v>
      </c>
    </row>
    <row r="99" ht="15.75" customHeight="1">
      <c r="E99" s="2" t="s">
        <v>28</v>
      </c>
      <c r="G99" s="20" t="s">
        <v>301</v>
      </c>
      <c r="H99" s="21" t="s">
        <v>302</v>
      </c>
      <c r="I99" s="21" t="s">
        <v>303</v>
      </c>
      <c r="K99" s="23">
        <f t="shared" ref="K99:K115" si="25">D11*4</f>
        <v>100</v>
      </c>
      <c r="L99" s="7">
        <f t="shared" ref="L99:L115" si="26">D11</f>
        <v>25</v>
      </c>
      <c r="O99" s="7" t="s">
        <v>304</v>
      </c>
    </row>
    <row r="100" ht="15.75" customHeight="1">
      <c r="E100" s="2" t="s">
        <v>33</v>
      </c>
      <c r="G100" s="20" t="s">
        <v>305</v>
      </c>
      <c r="H100" s="21" t="s">
        <v>306</v>
      </c>
      <c r="I100" s="21" t="s">
        <v>307</v>
      </c>
      <c r="K100" s="23">
        <f t="shared" si="25"/>
        <v>300</v>
      </c>
      <c r="L100" s="7">
        <f t="shared" si="26"/>
        <v>75</v>
      </c>
      <c r="O100" s="7" t="s">
        <v>308</v>
      </c>
    </row>
    <row r="101" ht="15.75" customHeight="1">
      <c r="E101" s="2" t="s">
        <v>38</v>
      </c>
      <c r="G101" s="20" t="s">
        <v>309</v>
      </c>
      <c r="H101" s="21"/>
      <c r="I101" s="21"/>
      <c r="K101" s="23">
        <f t="shared" si="25"/>
        <v>500</v>
      </c>
      <c r="L101" s="7">
        <f t="shared" si="26"/>
        <v>125</v>
      </c>
      <c r="O101" s="7" t="s">
        <v>310</v>
      </c>
    </row>
    <row r="102" ht="15.75" customHeight="1">
      <c r="E102" s="2" t="s">
        <v>43</v>
      </c>
      <c r="G102" s="20" t="s">
        <v>311</v>
      </c>
      <c r="H102" s="21"/>
      <c r="I102" s="21"/>
      <c r="K102" s="23">
        <f t="shared" si="25"/>
        <v>700</v>
      </c>
      <c r="L102" s="7">
        <f t="shared" si="26"/>
        <v>175</v>
      </c>
    </row>
    <row r="103" ht="15.75" customHeight="1">
      <c r="E103" s="2" t="s">
        <v>49</v>
      </c>
      <c r="G103" s="20" t="s">
        <v>312</v>
      </c>
      <c r="H103" s="21"/>
      <c r="I103" s="21"/>
      <c r="K103" s="23">
        <f t="shared" si="25"/>
        <v>900</v>
      </c>
      <c r="L103" s="7">
        <f t="shared" si="26"/>
        <v>225</v>
      </c>
      <c r="O103" s="7" t="s">
        <v>313</v>
      </c>
    </row>
    <row r="104" ht="15.75" customHeight="1">
      <c r="E104" s="2" t="s">
        <v>54</v>
      </c>
      <c r="G104" s="20" t="s">
        <v>314</v>
      </c>
      <c r="H104" s="28" t="s">
        <v>315</v>
      </c>
      <c r="I104" s="21"/>
      <c r="K104" s="23">
        <f t="shared" si="25"/>
        <v>1100</v>
      </c>
      <c r="L104" s="7">
        <f t="shared" si="26"/>
        <v>275</v>
      </c>
      <c r="O104" s="7" t="s">
        <v>316</v>
      </c>
    </row>
    <row r="105" ht="15.75" customHeight="1">
      <c r="E105" s="2" t="s">
        <v>59</v>
      </c>
      <c r="G105" s="20" t="s">
        <v>317</v>
      </c>
      <c r="H105" s="28" t="s">
        <v>318</v>
      </c>
      <c r="I105" s="21"/>
      <c r="K105" s="23">
        <f t="shared" si="25"/>
        <v>1300</v>
      </c>
      <c r="L105" s="7">
        <f t="shared" si="26"/>
        <v>325</v>
      </c>
      <c r="O105" s="7" t="s">
        <v>319</v>
      </c>
    </row>
    <row r="106" ht="15.75" customHeight="1">
      <c r="E106" s="2" t="s">
        <v>64</v>
      </c>
      <c r="G106" s="20" t="s">
        <v>320</v>
      </c>
      <c r="H106" s="28" t="s">
        <v>321</v>
      </c>
      <c r="I106" s="21"/>
      <c r="K106" s="23">
        <f t="shared" si="25"/>
        <v>1500</v>
      </c>
      <c r="L106" s="7">
        <f t="shared" si="26"/>
        <v>375</v>
      </c>
    </row>
    <row r="107" ht="15.75" customHeight="1">
      <c r="E107" s="2" t="s">
        <v>69</v>
      </c>
      <c r="G107" s="20" t="s">
        <v>322</v>
      </c>
      <c r="H107" s="21"/>
      <c r="I107" s="21"/>
      <c r="K107" s="23">
        <f t="shared" si="25"/>
        <v>1700</v>
      </c>
      <c r="L107" s="7">
        <f t="shared" si="26"/>
        <v>425</v>
      </c>
    </row>
    <row r="108" ht="15.75" customHeight="1">
      <c r="E108" s="2" t="s">
        <v>74</v>
      </c>
      <c r="G108" s="20" t="s">
        <v>323</v>
      </c>
      <c r="H108" s="21"/>
      <c r="I108" s="21"/>
      <c r="K108" s="23">
        <f t="shared" si="25"/>
        <v>1900</v>
      </c>
      <c r="L108" s="7">
        <f t="shared" si="26"/>
        <v>475</v>
      </c>
    </row>
    <row r="109" ht="15.75" customHeight="1">
      <c r="E109" s="2" t="s">
        <v>79</v>
      </c>
      <c r="G109" s="20" t="s">
        <v>324</v>
      </c>
      <c r="H109" s="21"/>
      <c r="I109" s="21"/>
      <c r="K109" s="23">
        <f t="shared" si="25"/>
        <v>2100</v>
      </c>
      <c r="L109" s="7">
        <f t="shared" si="26"/>
        <v>525</v>
      </c>
    </row>
    <row r="110" ht="15.75" customHeight="1">
      <c r="E110" s="2" t="s">
        <v>84</v>
      </c>
      <c r="G110" s="20" t="s">
        <v>325</v>
      </c>
      <c r="H110" s="21"/>
      <c r="I110" s="21"/>
      <c r="K110" s="23">
        <f t="shared" si="25"/>
        <v>2300</v>
      </c>
      <c r="L110" s="7">
        <f t="shared" si="26"/>
        <v>575</v>
      </c>
    </row>
    <row r="111" ht="15.75" customHeight="1">
      <c r="E111" s="2" t="s">
        <v>89</v>
      </c>
      <c r="G111" s="20" t="s">
        <v>326</v>
      </c>
      <c r="H111" s="21"/>
      <c r="I111" s="21"/>
      <c r="K111" s="23">
        <f t="shared" si="25"/>
        <v>2500</v>
      </c>
      <c r="L111" s="7">
        <f t="shared" si="26"/>
        <v>625</v>
      </c>
    </row>
    <row r="112" ht="15.75" customHeight="1">
      <c r="E112" s="2" t="s">
        <v>94</v>
      </c>
      <c r="G112" s="20" t="s">
        <v>327</v>
      </c>
      <c r="H112" s="21"/>
      <c r="I112" s="21"/>
      <c r="K112" s="23">
        <f t="shared" si="25"/>
        <v>2700</v>
      </c>
      <c r="L112" s="7">
        <f t="shared" si="26"/>
        <v>675</v>
      </c>
    </row>
    <row r="113" ht="15.75" customHeight="1">
      <c r="E113" s="2" t="s">
        <v>99</v>
      </c>
      <c r="G113" s="20" t="s">
        <v>328</v>
      </c>
      <c r="H113" s="21"/>
      <c r="I113" s="21"/>
      <c r="K113" s="23">
        <f t="shared" si="25"/>
        <v>2900</v>
      </c>
      <c r="L113" s="7">
        <f t="shared" si="26"/>
        <v>725</v>
      </c>
    </row>
    <row r="114" ht="15.75" customHeight="1">
      <c r="E114" s="2" t="s">
        <v>104</v>
      </c>
      <c r="G114" s="20" t="s">
        <v>329</v>
      </c>
      <c r="H114" s="21"/>
      <c r="I114" s="21"/>
      <c r="K114" s="23">
        <f t="shared" si="25"/>
        <v>3100</v>
      </c>
      <c r="L114" s="7">
        <f t="shared" si="26"/>
        <v>775</v>
      </c>
    </row>
    <row r="115" ht="15.75" customHeight="1">
      <c r="E115" s="2" t="s">
        <v>109</v>
      </c>
      <c r="G115" s="20" t="s">
        <v>330</v>
      </c>
      <c r="H115" s="21"/>
      <c r="I115" s="21"/>
      <c r="K115" s="23">
        <f t="shared" si="25"/>
        <v>3300</v>
      </c>
      <c r="L115" s="7">
        <f t="shared" si="26"/>
        <v>825</v>
      </c>
    </row>
    <row r="116" ht="15.75" customHeight="1"/>
    <row r="117" ht="15.75" customHeight="1">
      <c r="H117" s="7"/>
    </row>
    <row r="118" ht="15.75" customHeight="1">
      <c r="G118" s="12" t="s">
        <v>331</v>
      </c>
      <c r="H118" s="7" t="s">
        <v>332</v>
      </c>
    </row>
    <row r="119" ht="15.75" customHeight="1">
      <c r="G119" s="2" t="s">
        <v>24</v>
      </c>
      <c r="H119" s="2" t="s">
        <v>25</v>
      </c>
      <c r="I119" s="2" t="s">
        <v>26</v>
      </c>
      <c r="K119" s="2" t="s">
        <v>186</v>
      </c>
      <c r="L119" s="2" t="s">
        <v>188</v>
      </c>
    </row>
    <row r="120" ht="15.75" customHeight="1">
      <c r="E120" s="2" t="s">
        <v>28</v>
      </c>
      <c r="G120" s="20" t="s">
        <v>333</v>
      </c>
      <c r="H120" s="21" t="s">
        <v>334</v>
      </c>
      <c r="I120" s="21" t="s">
        <v>335</v>
      </c>
      <c r="K120" s="23">
        <f t="shared" ref="K120:L120" si="27">C11</f>
        <v>125</v>
      </c>
      <c r="L120" s="7">
        <f t="shared" si="27"/>
        <v>25</v>
      </c>
    </row>
    <row r="121" ht="15.75" customHeight="1">
      <c r="E121" s="2" t="s">
        <v>33</v>
      </c>
      <c r="G121" s="20" t="s">
        <v>336</v>
      </c>
      <c r="H121" s="21" t="s">
        <v>337</v>
      </c>
      <c r="I121" s="21" t="s">
        <v>338</v>
      </c>
      <c r="K121" s="23">
        <f t="shared" ref="K121:L121" si="28">C12</f>
        <v>375</v>
      </c>
      <c r="L121" s="7">
        <f t="shared" si="28"/>
        <v>75</v>
      </c>
    </row>
    <row r="122" ht="15.75" customHeight="1">
      <c r="E122" s="2" t="s">
        <v>38</v>
      </c>
      <c r="G122" s="20" t="s">
        <v>339</v>
      </c>
      <c r="H122" s="21" t="s">
        <v>340</v>
      </c>
      <c r="I122" s="21" t="s">
        <v>341</v>
      </c>
      <c r="K122" s="23">
        <f t="shared" ref="K122:L122" si="29">C13</f>
        <v>625</v>
      </c>
      <c r="L122" s="7">
        <f t="shared" si="29"/>
        <v>125</v>
      </c>
    </row>
    <row r="123" ht="15.75" customHeight="1">
      <c r="E123" s="2" t="s">
        <v>43</v>
      </c>
      <c r="G123" s="20" t="s">
        <v>342</v>
      </c>
      <c r="H123" s="21" t="s">
        <v>343</v>
      </c>
      <c r="I123" s="21" t="s">
        <v>344</v>
      </c>
      <c r="K123" s="23">
        <f t="shared" ref="K123:L123" si="30">C14</f>
        <v>875</v>
      </c>
      <c r="L123" s="7">
        <f t="shared" si="30"/>
        <v>175</v>
      </c>
    </row>
    <row r="124" ht="15.75" customHeight="1">
      <c r="E124" s="2" t="s">
        <v>49</v>
      </c>
      <c r="G124" s="20" t="s">
        <v>345</v>
      </c>
      <c r="H124" s="21" t="s">
        <v>346</v>
      </c>
      <c r="I124" s="21" t="s">
        <v>347</v>
      </c>
      <c r="K124" s="23">
        <f t="shared" ref="K124:L124" si="31">C15</f>
        <v>1125</v>
      </c>
      <c r="L124" s="7">
        <f t="shared" si="31"/>
        <v>225</v>
      </c>
    </row>
    <row r="125" ht="15.75" customHeight="1">
      <c r="E125" s="2" t="s">
        <v>54</v>
      </c>
      <c r="G125" s="20" t="s">
        <v>348</v>
      </c>
      <c r="H125" s="21" t="s">
        <v>349</v>
      </c>
      <c r="I125" s="21" t="s">
        <v>350</v>
      </c>
      <c r="K125" s="23">
        <f t="shared" ref="K125:L125" si="32">C16</f>
        <v>1375</v>
      </c>
      <c r="L125" s="7">
        <f t="shared" si="32"/>
        <v>275</v>
      </c>
    </row>
    <row r="126" ht="15.75" customHeight="1">
      <c r="E126" s="2" t="s">
        <v>59</v>
      </c>
      <c r="G126" s="20" t="s">
        <v>351</v>
      </c>
      <c r="H126" s="21" t="s">
        <v>352</v>
      </c>
      <c r="I126" s="21" t="s">
        <v>353</v>
      </c>
      <c r="K126" s="23">
        <f t="shared" ref="K126:L126" si="33">C17</f>
        <v>1625</v>
      </c>
      <c r="L126" s="7">
        <f t="shared" si="33"/>
        <v>325</v>
      </c>
    </row>
    <row r="127" ht="15.75" customHeight="1">
      <c r="E127" s="2" t="s">
        <v>64</v>
      </c>
      <c r="G127" s="20" t="s">
        <v>354</v>
      </c>
      <c r="H127" s="21" t="s">
        <v>355</v>
      </c>
      <c r="I127" s="21" t="s">
        <v>356</v>
      </c>
      <c r="K127" s="23">
        <f t="shared" ref="K127:L127" si="34">C18</f>
        <v>1875</v>
      </c>
      <c r="L127" s="7">
        <f t="shared" si="34"/>
        <v>375</v>
      </c>
    </row>
    <row r="128" ht="15.75" customHeight="1">
      <c r="E128" s="2" t="s">
        <v>69</v>
      </c>
      <c r="G128" s="20" t="s">
        <v>357</v>
      </c>
      <c r="H128" s="21" t="s">
        <v>358</v>
      </c>
      <c r="I128" s="21" t="s">
        <v>359</v>
      </c>
      <c r="K128" s="23">
        <f t="shared" ref="K128:L128" si="35">C19</f>
        <v>2125</v>
      </c>
      <c r="L128" s="7">
        <f t="shared" si="35"/>
        <v>425</v>
      </c>
    </row>
    <row r="129" ht="15.75" customHeight="1">
      <c r="E129" s="2" t="s">
        <v>74</v>
      </c>
      <c r="G129" s="20" t="s">
        <v>360</v>
      </c>
      <c r="H129" s="21" t="s">
        <v>361</v>
      </c>
      <c r="I129" s="21" t="s">
        <v>362</v>
      </c>
      <c r="K129" s="23">
        <f t="shared" ref="K129:L129" si="36">C20</f>
        <v>2375</v>
      </c>
      <c r="L129" s="7">
        <f t="shared" si="36"/>
        <v>475</v>
      </c>
    </row>
    <row r="130" ht="15.75" customHeight="1">
      <c r="E130" s="2" t="s">
        <v>79</v>
      </c>
      <c r="G130" s="20" t="s">
        <v>363</v>
      </c>
      <c r="H130" s="21" t="s">
        <v>364</v>
      </c>
      <c r="I130" s="21" t="s">
        <v>365</v>
      </c>
      <c r="K130" s="23">
        <f t="shared" ref="K130:L130" si="37">C21</f>
        <v>2625</v>
      </c>
      <c r="L130" s="7">
        <f t="shared" si="37"/>
        <v>525</v>
      </c>
    </row>
    <row r="131" ht="15.75" customHeight="1">
      <c r="E131" s="2" t="s">
        <v>84</v>
      </c>
      <c r="G131" s="20" t="s">
        <v>366</v>
      </c>
      <c r="H131" s="21" t="s">
        <v>367</v>
      </c>
      <c r="I131" s="21" t="s">
        <v>368</v>
      </c>
      <c r="K131" s="23">
        <f t="shared" ref="K131:L131" si="38">C22</f>
        <v>2875</v>
      </c>
      <c r="L131" s="7">
        <f t="shared" si="38"/>
        <v>575</v>
      </c>
    </row>
    <row r="132" ht="15.75" customHeight="1">
      <c r="E132" s="2" t="s">
        <v>89</v>
      </c>
      <c r="G132" s="20" t="s">
        <v>369</v>
      </c>
      <c r="H132" s="21" t="s">
        <v>370</v>
      </c>
      <c r="I132" s="21" t="s">
        <v>371</v>
      </c>
      <c r="K132" s="23">
        <f t="shared" ref="K132:L132" si="39">C23</f>
        <v>3125</v>
      </c>
      <c r="L132" s="7">
        <f t="shared" si="39"/>
        <v>625</v>
      </c>
    </row>
    <row r="133" ht="15.75" customHeight="1">
      <c r="E133" s="2" t="s">
        <v>94</v>
      </c>
      <c r="G133" s="20" t="s">
        <v>372</v>
      </c>
      <c r="H133" s="21" t="s">
        <v>373</v>
      </c>
      <c r="I133" s="21" t="s">
        <v>374</v>
      </c>
      <c r="K133" s="23">
        <f t="shared" ref="K133:L133" si="40">C24</f>
        <v>3375</v>
      </c>
      <c r="L133" s="7">
        <f t="shared" si="40"/>
        <v>675</v>
      </c>
    </row>
    <row r="134" ht="15.75" customHeight="1">
      <c r="E134" s="2" t="s">
        <v>99</v>
      </c>
      <c r="G134" s="20" t="s">
        <v>375</v>
      </c>
      <c r="H134" s="21" t="s">
        <v>376</v>
      </c>
      <c r="I134" s="21" t="s">
        <v>377</v>
      </c>
      <c r="K134" s="23">
        <f t="shared" ref="K134:L134" si="41">C25</f>
        <v>3625</v>
      </c>
      <c r="L134" s="7">
        <f t="shared" si="41"/>
        <v>725</v>
      </c>
    </row>
    <row r="135" ht="15.75" customHeight="1">
      <c r="E135" s="2" t="s">
        <v>104</v>
      </c>
      <c r="G135" s="20" t="s">
        <v>378</v>
      </c>
      <c r="H135" s="21" t="s">
        <v>379</v>
      </c>
      <c r="I135" s="21" t="s">
        <v>380</v>
      </c>
      <c r="K135" s="23">
        <f t="shared" ref="K135:L135" si="42">C26</f>
        <v>3875</v>
      </c>
      <c r="L135" s="7">
        <f t="shared" si="42"/>
        <v>775</v>
      </c>
    </row>
    <row r="136" ht="15.75" customHeight="1">
      <c r="E136" s="2" t="s">
        <v>109</v>
      </c>
      <c r="G136" s="20" t="s">
        <v>381</v>
      </c>
      <c r="H136" s="21"/>
      <c r="I136" s="21"/>
      <c r="K136" s="23">
        <f t="shared" ref="K136:L136" si="43">C27</f>
        <v>4125</v>
      </c>
      <c r="L136" s="7">
        <f t="shared" si="43"/>
        <v>825</v>
      </c>
    </row>
    <row r="137" ht="15.75" customHeight="1"/>
    <row r="138" ht="15.75" customHeight="1">
      <c r="H138" s="29"/>
      <c r="I138" s="29"/>
    </row>
    <row r="139" ht="15.75" customHeight="1">
      <c r="H139" s="29"/>
      <c r="I139" s="29"/>
    </row>
    <row r="140" ht="15.75" customHeight="1">
      <c r="H140" s="29"/>
      <c r="I140" s="29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2020-09-11T13:40:01Z</dcterms:created>
  <dc:creator>Jessica Gerr</dc:creator>
</cp:coreProperties>
</file>