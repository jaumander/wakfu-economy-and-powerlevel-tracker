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<sst xmlns="http://schemas.openxmlformats.org/spreadsheetml/2006/main" count="674" uniqueCount="422">
  <si>
    <t>Tabla de oficios artesania</t>
  </si>
  <si>
    <t>Exp de Artesania (20gremio/MM)(100Poti) max120 (%)►</t>
  </si>
  <si>
    <t>Exp extra por BP</t>
  </si>
  <si>
    <t>&lt;---- Exp plantacion y recoleccion (-10% a 60% Ecosistema) Gremio Exp 10% (max 70%)</t>
  </si>
  <si>
    <t>Evento de Oficios (50%) 0 No, 1 Si</t>
  </si>
  <si>
    <t>Booster pack (0 NO tienes, 1 si es en rubi, 2 si es en ogrest ►</t>
  </si>
  <si>
    <t>Recursos necesarios para total de componentes.</t>
  </si>
  <si>
    <t>Marroquinero</t>
  </si>
  <si>
    <t>Calculadora Automatica</t>
  </si>
  <si>
    <t>Maximo 10 en 10</t>
  </si>
  <si>
    <t>(Exp Actual si quieres precision)</t>
  </si>
  <si>
    <t>Exp del nivel actual</t>
  </si>
  <si>
    <t>Rutas Maritimas</t>
  </si>
  <si>
    <t>Nivel inicial</t>
  </si>
  <si>
    <t>Nivel final</t>
  </si>
  <si>
    <t>Exp necesaria</t>
  </si>
  <si>
    <t>Exp por componente</t>
  </si>
  <si>
    <t>Cantidad de componentes necesarios</t>
  </si>
  <si>
    <t>Calidad de componente</t>
  </si>
  <si>
    <t>Recurso 1</t>
  </si>
  <si>
    <t>Recurso 2</t>
  </si>
  <si>
    <t>Nivel actual</t>
  </si>
  <si>
    <t>Nivel deseado</t>
  </si>
  <si>
    <t>Experiencia Necesaria</t>
  </si>
  <si>
    <t>Rutas Marítimas (Recursos y Rutas)</t>
  </si>
  <si>
    <t>a</t>
  </si>
  <si>
    <t>Tosco</t>
  </si>
  <si>
    <t>Rudimentario</t>
  </si>
  <si>
    <t>Cantidad de componentes</t>
  </si>
  <si>
    <t>Imperfecto</t>
  </si>
  <si>
    <t>Frágil</t>
  </si>
  <si>
    <t>Hecho por Cristineya</t>
  </si>
  <si>
    <t>Hecho por Drarios</t>
  </si>
  <si>
    <t>Made by Cristineya</t>
  </si>
  <si>
    <t>By Drarios</t>
  </si>
  <si>
    <t>Rústico</t>
  </si>
  <si>
    <t>¡¡¡Notas Importantes!!!</t>
  </si>
  <si>
    <t>NO FABRICACIÓN (APROX.)</t>
  </si>
  <si>
    <t>Recordar Esquejes valen 0,5</t>
  </si>
  <si>
    <t>Bruto</t>
  </si>
  <si>
    <t>Tener en cuenta el ecosistema</t>
  </si>
  <si>
    <t>Oficios de recolección</t>
  </si>
  <si>
    <t>Exp por recolección/plantación</t>
  </si>
  <si>
    <t>Oficios</t>
  </si>
  <si>
    <t>Recolecciones/Plantaciones Hechas</t>
  </si>
  <si>
    <t>Recolecciones especiales/cadaveres</t>
  </si>
  <si>
    <t>Recolecciones/Plantaciones Faltantes</t>
  </si>
  <si>
    <t>Veces de recolección Necesarias</t>
  </si>
  <si>
    <t>Sólido</t>
  </si>
  <si>
    <t>Los Bonus del MerkaMundo o Boosters</t>
  </si>
  <si>
    <t>Campesino/Herbolista/Peletero/Pescador/Minero</t>
  </si>
  <si>
    <t>Campesino</t>
  </si>
  <si>
    <t>Duradero</t>
  </si>
  <si>
    <t>Pocion turbo craft (100%)</t>
  </si>
  <si>
    <t>Herbolista</t>
  </si>
  <si>
    <t>Refinado</t>
  </si>
  <si>
    <t>Hacer el pan con aceite</t>
  </si>
  <si>
    <t xml:space="preserve">Recolección de materiales especiales </t>
  </si>
  <si>
    <t>Leñador</t>
  </si>
  <si>
    <t>Minero</t>
  </si>
  <si>
    <t>Veces de recolección Necesarias Leñador</t>
  </si>
  <si>
    <t>Precioso</t>
  </si>
  <si>
    <t>Panadero</t>
  </si>
  <si>
    <t>Exp por pan</t>
  </si>
  <si>
    <t>Los Esquejes cuentan la mitad pero son dos por arbol</t>
  </si>
  <si>
    <t>Recuerda que deben ser de tu nivel de oficio</t>
  </si>
  <si>
    <t>Exquisito</t>
  </si>
  <si>
    <t>Contando con el pan creado</t>
  </si>
  <si>
    <t xml:space="preserve">Recursos especiales </t>
  </si>
  <si>
    <t>Pescador</t>
  </si>
  <si>
    <t>Veces de recolección Necesarias si usas cadaveres</t>
  </si>
  <si>
    <t>Místico</t>
  </si>
  <si>
    <t>Cantidad de panes con componente</t>
  </si>
  <si>
    <t>Campesino/Leñador/Herbolista/Minero</t>
  </si>
  <si>
    <t>Cuenta por 10 Recolecciones</t>
  </si>
  <si>
    <t>Peletero</t>
  </si>
  <si>
    <t>Eterno</t>
  </si>
  <si>
    <t>Cuenta por 4 Recolecciones en cadaver</t>
  </si>
  <si>
    <t>Divino</t>
  </si>
  <si>
    <t>Hacer Pan sin componente (aceite)</t>
  </si>
  <si>
    <t>Cuenta por 2 Recolecciones</t>
  </si>
  <si>
    <t>Infernal</t>
  </si>
  <si>
    <t>Ancestral</t>
  </si>
  <si>
    <t>niveles</t>
  </si>
  <si>
    <t>Total</t>
  </si>
  <si>
    <t>Inventario</t>
  </si>
  <si>
    <t>Faltan</t>
  </si>
  <si>
    <t>Elaboración</t>
  </si>
  <si>
    <t>Campesino - Sastre</t>
  </si>
  <si>
    <t>Leñador - Maestro de armas - Ebanista</t>
  </si>
  <si>
    <t>Minero - Armero - Joyero</t>
  </si>
  <si>
    <t>Herbolario - Panadero</t>
  </si>
  <si>
    <t>Cocinero - Pescador</t>
  </si>
  <si>
    <t>Recursos</t>
  </si>
  <si>
    <t>% de recolección (cantidad de recursos)</t>
  </si>
  <si>
    <t>0 - 10</t>
  </si>
  <si>
    <t>Topinambo</t>
  </si>
  <si>
    <t>Madera de avellano</t>
  </si>
  <si>
    <t>Flor de sal</t>
  </si>
  <si>
    <t>Flor de lino</t>
  </si>
  <si>
    <t>Pez miuamiau</t>
  </si>
  <si>
    <t>Moco de larva</t>
  </si>
  <si>
    <t>Pluma de tofu</t>
  </si>
  <si>
    <t>-</t>
  </si>
  <si>
    <t>Aumento%</t>
  </si>
  <si>
    <t>Mínimos (aprox.)</t>
  </si>
  <si>
    <t>Máximos (aprox.)</t>
  </si>
  <si>
    <t>Paja de trigo</t>
  </si>
  <si>
    <t>Madera de fresno</t>
  </si>
  <si>
    <t>Mineral de hierro</t>
  </si>
  <si>
    <t>Cardo borriquero</t>
  </si>
  <si>
    <t>Pescado empanado</t>
  </si>
  <si>
    <t>Pelos de miaumiau</t>
  </si>
  <si>
    <t>Lana de jalató</t>
  </si>
  <si>
    <t>1 recursos</t>
  </si>
  <si>
    <t>4 recursos</t>
  </si>
  <si>
    <t>10 - 20</t>
  </si>
  <si>
    <t>Paja de cebada</t>
  </si>
  <si>
    <t>Madera de ñianzamo</t>
  </si>
  <si>
    <t>Mineral de cobre</t>
  </si>
  <si>
    <t>Hoja de menta</t>
  </si>
  <si>
    <t>Boquerón ruñidor</t>
  </si>
  <si>
    <t>Soplido de azufre</t>
  </si>
  <si>
    <t>Tezcorteza de abrakno</t>
  </si>
  <si>
    <t>Ramapata</t>
  </si>
  <si>
    <t>Tuberbulbo</t>
  </si>
  <si>
    <t>Madera de castaño</t>
  </si>
  <si>
    <t>Carbón antiguo</t>
  </si>
  <si>
    <t>Flor azul</t>
  </si>
  <si>
    <t>Esturión</t>
  </si>
  <si>
    <t>Pelos de bali</t>
  </si>
  <si>
    <t>Pluma de pio</t>
  </si>
  <si>
    <t>Pico de pio</t>
  </si>
  <si>
    <t>20 - 30</t>
  </si>
  <si>
    <t>Enchalada</t>
  </si>
  <si>
    <t>Madera de boabob</t>
  </si>
  <si>
    <t>Pepita de bronce</t>
  </si>
  <si>
    <t>Flor de orquidea</t>
  </si>
  <si>
    <t>Riape</t>
  </si>
  <si>
    <t>Esencia riktus</t>
  </si>
  <si>
    <t>Harina de hueso</t>
  </si>
  <si>
    <t>Baba campestre</t>
  </si>
  <si>
    <t>Estalagmita</t>
  </si>
  <si>
    <t>Aletas</t>
  </si>
  <si>
    <t>Zanahowia</t>
  </si>
  <si>
    <t>Madera de abedul</t>
  </si>
  <si>
    <t>Cobalto oscuro</t>
  </si>
  <si>
    <t>Trebol perfumado</t>
  </si>
  <si>
    <t>Bamga</t>
  </si>
  <si>
    <t>Sangre chupada</t>
  </si>
  <si>
    <t>Moho vegetal</t>
  </si>
  <si>
    <t>Aceite pischis</t>
  </si>
  <si>
    <t>Alas de moskito</t>
  </si>
  <si>
    <t>Crines campestres</t>
  </si>
  <si>
    <t>5 recursos</t>
  </si>
  <si>
    <t>30 - 40</t>
  </si>
  <si>
    <t>Fragil</t>
  </si>
  <si>
    <t>Melón</t>
  </si>
  <si>
    <t>Madera de carpe</t>
  </si>
  <si>
    <t>Cuarzo tallado</t>
  </si>
  <si>
    <t>Flor de rododendro</t>
  </si>
  <si>
    <t>Salamón</t>
  </si>
  <si>
    <t>Piel recia</t>
  </si>
  <si>
    <t>Correo del caos</t>
  </si>
  <si>
    <t>Sangre de eskualo</t>
  </si>
  <si>
    <t>Baba dera</t>
  </si>
  <si>
    <t>Piel de escualo</t>
  </si>
  <si>
    <t>Bucle caotico</t>
  </si>
  <si>
    <t>Paja de avena</t>
  </si>
  <si>
    <t>Madera de sauce llorón</t>
  </si>
  <si>
    <t>Esquirla de silex</t>
  </si>
  <si>
    <t>Hoja de helecho lecho</t>
  </si>
  <si>
    <t>Raya velluda</t>
  </si>
  <si>
    <t>Ambar de anraknido</t>
  </si>
  <si>
    <t>Mejillon fresco</t>
  </si>
  <si>
    <t>Nacar</t>
  </si>
  <si>
    <t>Lana salvaje</t>
  </si>
  <si>
    <t>40 - 50</t>
  </si>
  <si>
    <t>Rustico</t>
  </si>
  <si>
    <t>Champiños veteado</t>
  </si>
  <si>
    <t>Madera de alamo</t>
  </si>
  <si>
    <t>Zinc entero</t>
  </si>
  <si>
    <t>Tallo de caña</t>
  </si>
  <si>
    <t>Perca</t>
  </si>
  <si>
    <t>Baba de araknoshima</t>
  </si>
  <si>
    <t>Pelos de rata vieja</t>
  </si>
  <si>
    <t>Pico de cuerbok</t>
  </si>
  <si>
    <t>Vigotes de rata</t>
  </si>
  <si>
    <t>Fibra de centeno</t>
  </si>
  <si>
    <t>Madera de secuoygan</t>
  </si>
  <si>
    <t>Kromo funesto</t>
  </si>
  <si>
    <t>Baya de gargolo</t>
  </si>
  <si>
    <t>Pescaluna</t>
  </si>
  <si>
    <t>Pata de mediulobo</t>
  </si>
  <si>
    <t>Pluma de cuerbok</t>
  </si>
  <si>
    <t>Zarpa de krapula</t>
  </si>
  <si>
    <t>Paja charcosa</t>
  </si>
  <si>
    <t>2 recursos</t>
  </si>
  <si>
    <t>6 recursos</t>
  </si>
  <si>
    <t>50 - 60</t>
  </si>
  <si>
    <t>Makafe dorado</t>
  </si>
  <si>
    <t>Madera desmochada</t>
  </si>
  <si>
    <t>Amatista sanguina</t>
  </si>
  <si>
    <t>Lengua de muuugresa</t>
  </si>
  <si>
    <t>Pez zobal</t>
  </si>
  <si>
    <t>Ranciedad</t>
  </si>
  <si>
    <t>Piel granuloza</t>
  </si>
  <si>
    <t>Pluma de tofu salvaje</t>
  </si>
  <si>
    <t>Arena dorada</t>
  </si>
  <si>
    <t>Pelo de troll</t>
  </si>
  <si>
    <t>Arroz legión</t>
  </si>
  <si>
    <t>Madera de bananaranjo</t>
  </si>
  <si>
    <t>Bauxita real</t>
  </si>
  <si>
    <t>Alga narina</t>
  </si>
  <si>
    <t>Dragocarpa</t>
  </si>
  <si>
    <t>Pelo mortuorio</t>
  </si>
  <si>
    <t>Mucosidad brizlona</t>
  </si>
  <si>
    <t>Tierra de brizlon</t>
  </si>
  <si>
    <t>Cuero de glali</t>
  </si>
  <si>
    <t>Campana</t>
  </si>
  <si>
    <t>60 - 70</t>
  </si>
  <si>
    <t>Solido</t>
  </si>
  <si>
    <t>Maíz</t>
  </si>
  <si>
    <t>Madera trepadora</t>
  </si>
  <si>
    <t>Mineral de tarudio</t>
  </si>
  <si>
    <t>Flor de algodonudo</t>
  </si>
  <si>
    <t>Flautito de mar</t>
  </si>
  <si>
    <t>Baba fea</t>
  </si>
  <si>
    <t>Ojo de hielo</t>
  </si>
  <si>
    <t>Guardapelo</t>
  </si>
  <si>
    <t xml:space="preserve">Gelatina de frambuesa - Gelatina de limón - Gelatina de  - Gelatina de </t>
  </si>
  <si>
    <t>Sandía</t>
  </si>
  <si>
    <t>Madera helada</t>
  </si>
  <si>
    <t>Zafiro de doble brillo</t>
  </si>
  <si>
    <t>Edelweiss</t>
  </si>
  <si>
    <t>Bamgarón</t>
  </si>
  <si>
    <t>Musgo fosilizado</t>
  </si>
  <si>
    <t>Pluma susurrada</t>
  </si>
  <si>
    <t>Pelopluma de las nieves</t>
  </si>
  <si>
    <t>70 - 80</t>
  </si>
  <si>
    <t>Judía</t>
  </si>
  <si>
    <t>Madera picante</t>
  </si>
  <si>
    <t>Mineral del desierto</t>
  </si>
  <si>
    <t>Hoja de alo vera</t>
  </si>
  <si>
    <t>Pez de arena</t>
  </si>
  <si>
    <t>Columna vertebral</t>
  </si>
  <si>
    <t>Aceite de motor</t>
  </si>
  <si>
    <t>Hueso congelado</t>
  </si>
  <si>
    <t>Trufa del desierto</t>
  </si>
  <si>
    <t>Madera de tejo</t>
  </si>
  <si>
    <t>Mineral de plomo brumoso</t>
  </si>
  <si>
    <t>Booleto</t>
  </si>
  <si>
    <t>Anguila</t>
  </si>
  <si>
    <t>Baba espesa</t>
  </si>
  <si>
    <t>Recina samariciosa</t>
  </si>
  <si>
    <t>Crurazón</t>
  </si>
  <si>
    <t>80 - 90</t>
  </si>
  <si>
    <t>Zanahowia negra</t>
  </si>
  <si>
    <t>Madera de velgameta</t>
  </si>
  <si>
    <t>Mineral de mithwil</t>
  </si>
  <si>
    <t>Trampa de dionea</t>
  </si>
  <si>
    <t>Pirañaña</t>
  </si>
  <si>
    <t>Piel oscura</t>
  </si>
  <si>
    <t>Piel clara</t>
  </si>
  <si>
    <t>Piel de black wabbit</t>
  </si>
  <si>
    <t>Piel de wabbit</t>
  </si>
  <si>
    <t>Luciseta</t>
  </si>
  <si>
    <t>Madera de champivela</t>
  </si>
  <si>
    <t>Oro negro</t>
  </si>
  <si>
    <t>Clavo fetada</t>
  </si>
  <si>
    <t>Planctón</t>
  </si>
  <si>
    <t>Baba oscura</t>
  </si>
  <si>
    <t>Pelos de perforatroz</t>
  </si>
  <si>
    <t>Lamina de negraspora</t>
  </si>
  <si>
    <t>90 - 100</t>
  </si>
  <si>
    <t>Girasol</t>
  </si>
  <si>
    <t>Madera silvestre</t>
  </si>
  <si>
    <t>Titanio soberano</t>
  </si>
  <si>
    <t>Eter</t>
  </si>
  <si>
    <t>Kamazander</t>
  </si>
  <si>
    <t>Baba clara</t>
  </si>
  <si>
    <t>Piel furtiva</t>
  </si>
  <si>
    <t>Tejido nawanja</t>
  </si>
  <si>
    <t>Tejido rojo</t>
  </si>
  <si>
    <t>Col</t>
  </si>
  <si>
    <t>Madera de cerezo</t>
  </si>
  <si>
    <t>Piedra de zafiro de doble brillo</t>
  </si>
  <si>
    <t>Flor de kamamila</t>
  </si>
  <si>
    <t>Truchatún</t>
  </si>
  <si>
    <t>Piel radiante</t>
  </si>
  <si>
    <t>Baba costoza</t>
  </si>
  <si>
    <t>Piel infectada</t>
  </si>
  <si>
    <t>100 - 110</t>
  </si>
  <si>
    <t>Calabaza</t>
  </si>
  <si>
    <t>Madera de sauco</t>
  </si>
  <si>
    <t>Carbono oscuro</t>
  </si>
  <si>
    <t>Amanita</t>
  </si>
  <si>
    <t>Milubo marino</t>
  </si>
  <si>
    <t>Bola de pelos</t>
  </si>
  <si>
    <t>Kronos</t>
  </si>
  <si>
    <t>Sangre coagulada</t>
  </si>
  <si>
    <t>Fresa</t>
  </si>
  <si>
    <t>Madera seca</t>
  </si>
  <si>
    <t>Mineral de sryanuro</t>
  </si>
  <si>
    <t>Pulsatila azufrada</t>
  </si>
  <si>
    <t>Seguondo</t>
  </si>
  <si>
    <t>Sangro coagulada</t>
  </si>
  <si>
    <t>Nometrado</t>
  </si>
  <si>
    <t>7 recursos</t>
  </si>
  <si>
    <t>110 - 120</t>
  </si>
  <si>
    <t>Palma</t>
  </si>
  <si>
    <t>Madera de divi divi</t>
  </si>
  <si>
    <t>Ambar</t>
  </si>
  <si>
    <t>Flor de tahitiriana</t>
  </si>
  <si>
    <t>Caiman enano</t>
  </si>
  <si>
    <t>Fibra voraz</t>
  </si>
  <si>
    <t>Pelos de kanibola</t>
  </si>
  <si>
    <t>Baston kanibola</t>
  </si>
  <si>
    <t>Brasas magmaticas</t>
  </si>
  <si>
    <t>Vapor aspero</t>
  </si>
  <si>
    <t>Yuka amarga</t>
  </si>
  <si>
    <t>Madera de kokotero</t>
  </si>
  <si>
    <t>Mercurio</t>
  </si>
  <si>
    <t>Gracia del dia</t>
  </si>
  <si>
    <t>Namo</t>
  </si>
  <si>
    <t>Escama de cocodrail</t>
  </si>
  <si>
    <t>Hoja de tropikoko</t>
  </si>
  <si>
    <t>Raices de kanivora</t>
  </si>
  <si>
    <t>Colmillos de tejaroxor</t>
  </si>
  <si>
    <t>Cascara de dragohuevo</t>
  </si>
  <si>
    <t>120 - 130</t>
  </si>
  <si>
    <t>Pimiento lustracero</t>
  </si>
  <si>
    <t>Madera de maracajú</t>
  </si>
  <si>
    <t>Mineral de obsidiana</t>
  </si>
  <si>
    <t>Hoja de ortiga</t>
  </si>
  <si>
    <t>Espina de pescado</t>
  </si>
  <si>
    <t>Roca magmatica</t>
  </si>
  <si>
    <t>Escama de dragohuevo</t>
  </si>
  <si>
    <t>Pata de buhatras</t>
  </si>
  <si>
    <t>Pelaje de plaguepardo</t>
  </si>
  <si>
    <t>Fibra de miniyute</t>
  </si>
  <si>
    <t>Madera de zarza</t>
  </si>
  <si>
    <t>Mineral de plata vieja</t>
  </si>
  <si>
    <t>Mumusgo</t>
  </si>
  <si>
    <t>Salamandra</t>
  </si>
  <si>
    <t>Pelo de tejaroxor</t>
  </si>
  <si>
    <t>Soplo acido</t>
  </si>
  <si>
    <t>Gostoplasma de pandala</t>
  </si>
  <si>
    <t>130 - 140</t>
  </si>
  <si>
    <t>Arandano helado</t>
  </si>
  <si>
    <t>Madera de carya</t>
  </si>
  <si>
    <t>Mineral de granate helado</t>
  </si>
  <si>
    <t>Delfhiniom</t>
  </si>
  <si>
    <t>Ganva</t>
  </si>
  <si>
    <t>Pata de guino</t>
  </si>
  <si>
    <t>Pelaje de plantiguardia</t>
  </si>
  <si>
    <t>Escama de solgazan</t>
  </si>
  <si>
    <t>Pelos de nievaja</t>
  </si>
  <si>
    <t>Pila de tierra fuliginosa</t>
  </si>
  <si>
    <t>Nipinza de gracia</t>
  </si>
  <si>
    <t>Cuero de nievaja</t>
  </si>
  <si>
    <t>8 recursos</t>
  </si>
  <si>
    <t>Cactoso</t>
  </si>
  <si>
    <t>Madera de algatrenza</t>
  </si>
  <si>
    <t>Mineral de zircon</t>
  </si>
  <si>
    <t>Flor-copo</t>
  </si>
  <si>
    <t>Ostra</t>
  </si>
  <si>
    <t>Pata de escapatarazón</t>
  </si>
  <si>
    <t>Pinchos de vandilienado</t>
  </si>
  <si>
    <t>Escama de crustarisco</t>
  </si>
  <si>
    <t>Pischis pequeño naranja</t>
  </si>
  <si>
    <t>Cuero de vandalienado</t>
  </si>
  <si>
    <t>Epicuticula de solgazan</t>
  </si>
  <si>
    <t>140 - 150</t>
  </si>
  <si>
    <t>Fruta del demonio</t>
  </si>
  <si>
    <t>Madera de desesperarbol</t>
  </si>
  <si>
    <t>Mineral de piedra del vacio</t>
  </si>
  <si>
    <t>Galinsoga demoniaca</t>
  </si>
  <si>
    <t>Pezostil</t>
  </si>
  <si>
    <t>Dientes de devastador</t>
  </si>
  <si>
    <t>Mascara de demorrible</t>
  </si>
  <si>
    <t>Pata de idos</t>
  </si>
  <si>
    <t>Valvula de steamer de elite</t>
  </si>
  <si>
    <t>Brazo de devastador</t>
  </si>
  <si>
    <t>Aleta de pezgajozo abisal</t>
  </si>
  <si>
    <t>Piel Vaciante</t>
  </si>
  <si>
    <t>Frijol malefico</t>
  </si>
  <si>
    <t>Madera de noaya</t>
  </si>
  <si>
    <t>Mineral de piedra simbiotica</t>
  </si>
  <si>
    <t>Cardominador</t>
  </si>
  <si>
    <t>Trompembustero</t>
  </si>
  <si>
    <t>Trozo de fitoforme</t>
  </si>
  <si>
    <t>Cuero de Vaciante</t>
  </si>
  <si>
    <t>Fragmeento de Aleta</t>
  </si>
  <si>
    <t>Chatarra stasiada</t>
  </si>
  <si>
    <t>Pseudopodo</t>
  </si>
  <si>
    <t>3 recursos</t>
  </si>
  <si>
    <t>150 - 160</t>
  </si>
  <si>
    <t>Raiz esbirria</t>
  </si>
  <si>
    <t>Astracacia</t>
  </si>
  <si>
    <t>Fragmonita</t>
  </si>
  <si>
    <t>Primaniola</t>
  </si>
  <si>
    <t>Pecelenio</t>
  </si>
  <si>
    <t>Tubo mal condueido</t>
  </si>
  <si>
    <t>Bola de pelos sabanastral</t>
  </si>
  <si>
    <t>Pico de feroeirraptor</t>
  </si>
  <si>
    <t>Gema de carminita</t>
  </si>
  <si>
    <t>Escama primitiva</t>
  </si>
  <si>
    <t>Sanguiflor</t>
  </si>
  <si>
    <t>Lueil</t>
  </si>
  <si>
    <t>Zireometa</t>
  </si>
  <si>
    <t>Rosen</t>
  </si>
  <si>
    <t>Jefesú</t>
  </si>
  <si>
    <t>Emblema de clan</t>
  </si>
  <si>
    <t>Roca primaria</t>
  </si>
  <si>
    <t>Piel primaria</t>
  </si>
  <si>
    <t>9 recursos</t>
  </si>
  <si>
    <t xml:space="preserve">Exp necesaria </t>
  </si>
  <si>
    <t>para ambos lvls</t>
  </si>
  <si>
    <t xml:space="preserve">Resultado de </t>
  </si>
  <si>
    <t>diferencia de exp</t>
  </si>
  <si>
    <t>Componentes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</si>
</sst>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b/>
      <sz val="11.0"/>
      <color rgb="FF000000"/>
      <name val="Calibri"/>
    </font>
    <font/>
    <font>
      <sz val="11.0"/>
      <color rgb="FF000000"/>
      <name val="Calibri"/>
    </font>
    <font>
      <color theme="1"/>
      <name val="Arial"/>
      <scheme val="minor"/>
    </font>
    <font>
      <sz val="12.0"/>
      <color rgb="FF000000"/>
      <name val="Calibri"/>
    </font>
    <font>
      <b/>
      <sz val="11.0"/>
      <color theme="1"/>
      <name val="Arial"/>
      <scheme val="minor"/>
    </font>
    <font>
      <b/>
      <sz val="11.0"/>
      <color rgb="FF385623"/>
      <name val="Calibri"/>
    </font>
    <font>
      <b/>
      <sz val="11.0"/>
      <color rgb="FFFF0000"/>
      <name val="Calibri"/>
    </font>
    <font>
      <b/>
      <u/>
      <sz val="11.0"/>
      <color rgb="FF0000FF"/>
      <name val="Calibri"/>
    </font>
    <font>
      <sz val="11.0"/>
      <color rgb="FF333333"/>
      <name val="Calibri"/>
    </font>
    <font>
      <b/>
      <sz val="11.0"/>
      <color theme="1"/>
      <name val="Calibri"/>
    </font>
    <font>
      <b/>
      <i/>
      <sz val="11.0"/>
      <color rgb="FF9900FF"/>
      <name val="Calibri"/>
    </font>
    <font>
      <sz val="11.0"/>
      <color rgb="FF6AA84F"/>
      <name val="Impact"/>
    </font>
    <font>
      <b/>
      <color theme="1"/>
      <name val="Arial"/>
      <scheme val="minor"/>
    </font>
    <font>
      <b/>
      <color rgb="FF000000"/>
      <name val="Arial"/>
      <scheme val="minor"/>
    </font>
    <font>
      <b/>
      <sz val="9.0"/>
      <color theme="1"/>
      <name val="Arial"/>
      <scheme val="minor"/>
    </font>
    <font>
      <color rgb="FF000000"/>
      <name val="Arial"/>
      <scheme val="minor"/>
    </font>
    <font>
      <b/>
      <sz val="10.0"/>
      <color theme="1"/>
      <name val="Arial"/>
      <scheme val="minor"/>
    </font>
    <font>
      <b/>
      <sz val="11.0"/>
      <color rgb="FF000000"/>
      <name val="Docs-Calibri"/>
    </font>
    <font>
      <color rgb="FF000000"/>
      <name val="Roboto"/>
    </font>
    <font>
      <sz val="9.0"/>
      <color rgb="FF444746"/>
      <name val="&quot;Google Sans&quot;"/>
    </font>
    <font>
      <sz val="11.0"/>
      <color rgb="FF000000"/>
      <name val="Docs-Calibri"/>
    </font>
  </fonts>
  <fills count="15">
    <fill>
      <patternFill patternType="none"/>
    </fill>
    <fill>
      <patternFill patternType="lightGray"/>
    </fill>
    <fill>
      <patternFill patternType="solid">
        <fgColor rgb="FF70AD47"/>
        <bgColor rgb="FF70AD47"/>
      </patternFill>
    </fill>
    <fill>
      <patternFill patternType="solid">
        <fgColor rgb="FFE7E6E6"/>
        <bgColor rgb="FFE7E6E6"/>
      </patternFill>
    </fill>
    <fill>
      <patternFill patternType="solid">
        <fgColor rgb="FFEFEFEF"/>
        <bgColor rgb="FFEFEFEF"/>
      </patternFill>
    </fill>
    <fill>
      <patternFill patternType="solid">
        <fgColor rgb="FF6AA84F"/>
        <bgColor rgb="FF6AA84F"/>
      </patternFill>
    </fill>
    <fill>
      <patternFill patternType="solid">
        <fgColor rgb="FF00FFFF"/>
        <bgColor rgb="FF00FFFF"/>
      </patternFill>
    </fill>
    <fill>
      <patternFill patternType="solid">
        <fgColor rgb="FFD9D2E9"/>
        <bgColor rgb="FFD9D2E9"/>
      </patternFill>
    </fill>
    <fill>
      <patternFill patternType="solid">
        <fgColor rgb="FFFFFFFF"/>
        <bgColor rgb="FFFFFFFF"/>
      </patternFill>
    </fill>
    <fill>
      <patternFill patternType="solid">
        <fgColor rgb="FFCC4125"/>
        <bgColor rgb="FFCC4125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BF9000"/>
        <bgColor rgb="FFBF9000"/>
      </patternFill>
    </fill>
    <fill>
      <patternFill patternType="solid">
        <fgColor rgb="FFFFE599"/>
        <bgColor rgb="FFFFE599"/>
      </patternFill>
    </fill>
    <fill>
      <patternFill patternType="solid">
        <fgColor rgb="FFFF9900"/>
        <bgColor rgb="FFFF9900"/>
      </patternFill>
    </fill>
  </fills>
  <borders count="16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top style="thin">
        <color rgb="FF000000"/>
      </top>
      <bottom style="thin">
        <color rgb="FF000000"/>
      </bottom>
    </border>
    <border>
      <right style="thin">
        <color rgb="FFD9D9D9"/>
      </right>
      <bottom style="thin">
        <color rgb="FFD9D9D9"/>
      </bottom>
    </border>
  </borders>
  <cellStyleXfs count="1">
    <xf borderId="0" fillId="0" fontId="0" numFmtId="0" applyAlignment="1" applyFont="1"/>
  </cellStyleXfs>
  <cellXfs count="1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0" fillId="2" fontId="1" numFmtId="0" xfId="0" applyAlignment="1" applyFill="1" applyFont="1">
      <alignment horizontal="center" readingOrder="0" shrinkToFit="0" vertical="bottom" wrapText="0"/>
    </xf>
    <xf borderId="3" fillId="0" fontId="2" numFmtId="0" xfId="0" applyBorder="1" applyFont="1"/>
    <xf borderId="4" fillId="3" fontId="3" numFmtId="0" xfId="0" applyAlignment="1" applyBorder="1" applyFill="1" applyFont="1">
      <alignment horizontal="right" readingOrder="0" shrinkToFit="0" vertical="bottom" wrapText="0"/>
    </xf>
    <xf borderId="4" fillId="2" fontId="1" numFmtId="0" xfId="0" applyAlignment="1" applyBorder="1" applyFill="1" applyFont="1">
      <alignment horizontal="center" readingOrder="0" shrinkToFit="0" vertical="bottom" wrapText="0"/>
    </xf>
    <xf borderId="0" fillId="4" fontId="4" numFmtId="0" xfId="0" applyAlignment="1" applyFill="1" applyFont="1">
      <alignment horizontal="center" readingOrder="0"/>
    </xf>
    <xf borderId="1" fillId="2" fontId="5" numFmtId="0" xfId="0" applyAlignment="1" applyBorder="1" applyFill="1" applyFont="1">
      <alignment horizontal="center" readingOrder="0"/>
    </xf>
    <xf borderId="5" fillId="0" fontId="2" numFmtId="0" xfId="0" applyBorder="1" applyFont="1"/>
    <xf borderId="0" fillId="2" fontId="4" numFmtId="0" xfId="0" applyAlignment="1" applyFill="1" applyFont="1">
      <alignment horizontal="center" readingOrder="0"/>
    </xf>
    <xf borderId="6" fillId="4" fontId="4" numFmtId="0" xfId="0" applyAlignment="1" applyBorder="1" applyFill="1" applyFont="1">
      <alignment horizontal="center" readingOrder="0"/>
    </xf>
    <xf borderId="0" fillId="0" fontId="3" numFmtId="0" xfId="0" applyAlignment="1" applyFont="1">
      <alignment shrinkToFit="0" vertical="bottom" wrapText="0"/>
    </xf>
    <xf borderId="7" fillId="0" fontId="2" numFmtId="0" xfId="0" applyBorder="1" applyFont="1"/>
    <xf borderId="8" fillId="0" fontId="2" numFmtId="0" xfId="0" applyBorder="1" applyFont="1"/>
    <xf borderId="9" fillId="2" fontId="1" numFmtId="0" xfId="0" applyAlignment="1" applyBorder="1" applyFill="1" applyFont="1">
      <alignment horizontal="center" readingOrder="0" shrinkToFit="0" vertical="bottom" wrapText="0"/>
    </xf>
    <xf borderId="9" fillId="0" fontId="2" numFmtId="0" xfId="0" applyBorder="1" applyFont="1"/>
    <xf borderId="8" fillId="3" fontId="3" numFmtId="0" xfId="0" applyAlignment="1" applyBorder="1" applyFill="1" applyFont="1">
      <alignment horizontal="right" readingOrder="0" shrinkToFit="0" vertical="bottom" wrapText="0"/>
    </xf>
    <xf borderId="6" fillId="2" fontId="3" numFmtId="0" xfId="0" applyAlignment="1" applyBorder="1" applyFill="1" applyFont="1">
      <alignment horizontal="center" readingOrder="0" shrinkToFit="0" vertical="bottom" wrapText="0"/>
    </xf>
    <xf borderId="10" fillId="2" fontId="1" numFmtId="0" xfId="0" applyAlignment="1" applyBorder="1" applyFill="1" applyFont="1">
      <alignment horizontal="center" readingOrder="0"/>
    </xf>
    <xf borderId="4" fillId="0" fontId="2" numFmtId="0" xfId="0" applyBorder="1" applyFont="1"/>
    <xf borderId="10" fillId="5" fontId="6" numFmtId="0" xfId="0" applyAlignment="1" applyBorder="1" applyFill="1" applyFont="1">
      <alignment horizontal="center" readingOrder="0"/>
    </xf>
    <xf borderId="6" fillId="2" fontId="1" numFmtId="0" xfId="0" applyAlignment="1" applyBorder="1" applyFill="1" applyFont="1">
      <alignment horizontal="center" readingOrder="0" shrinkToFit="0" vertical="bottom" wrapText="0"/>
    </xf>
    <xf borderId="6" fillId="2" fontId="1" numFmtId="0" xfId="0" applyAlignment="1" applyBorder="1" applyFill="1" applyFont="1">
      <alignment readingOrder="0" shrinkToFit="0" vertical="bottom" wrapText="0"/>
    </xf>
    <xf borderId="10" fillId="2" fontId="1" numFmtId="0" xfId="0" applyAlignment="1" applyBorder="1" applyFill="1" applyFont="1">
      <alignment horizontal="center" readingOrder="0" shrinkToFit="0" vertical="bottom" wrapText="0"/>
    </xf>
    <xf borderId="11" fillId="2" fontId="7" numFmtId="0" xfId="0" applyAlignment="1" applyBorder="1" applyFill="1" applyFont="1">
      <alignment horizontal="center" readingOrder="0" shrinkToFit="0" wrapText="0"/>
    </xf>
    <xf borderId="8" fillId="2" fontId="7" numFmtId="0" xfId="0" applyAlignment="1" applyBorder="1" applyFill="1" applyFont="1">
      <alignment horizontal="center" shrinkToFit="0" wrapText="0"/>
    </xf>
    <xf borderId="8" fillId="2" fontId="7" numFmtId="0" xfId="0" applyAlignment="1" applyBorder="1" applyFill="1" applyFont="1">
      <alignment horizontal="center" readingOrder="0" shrinkToFit="0" wrapText="0"/>
    </xf>
    <xf borderId="8" fillId="2" fontId="8" numFmtId="0" xfId="0" applyAlignment="1" applyBorder="1" applyFill="1" applyFont="1">
      <alignment horizontal="center" readingOrder="0"/>
    </xf>
    <xf borderId="8" fillId="2" fontId="1" numFmtId="0" xfId="0" applyAlignment="1" applyBorder="1" applyFill="1" applyFont="1">
      <alignment horizontal="center" readingOrder="0"/>
    </xf>
    <xf borderId="8" fillId="2" fontId="1" numFmtId="0" xfId="0" applyAlignment="1" applyBorder="1" applyFill="1" applyFont="1">
      <alignment horizontal="center" readingOrder="0" shrinkToFit="0" wrapText="0"/>
    </xf>
    <xf borderId="6" fillId="2" fontId="1" numFmtId="0" xfId="0" applyAlignment="1" applyBorder="1" applyFill="1" applyFont="1">
      <alignment horizontal="center" readingOrder="0" shrinkToFit="0" wrapText="0"/>
    </xf>
    <xf borderId="6" fillId="6" fontId="1" numFmtId="0" xfId="0" applyAlignment="1" applyBorder="1" applyFill="1" applyFont="1">
      <alignment horizontal="center" readingOrder="0" shrinkToFit="0" wrapText="0"/>
    </xf>
    <xf borderId="6" fillId="6" fontId="3" numFmtId="0" xfId="0" applyAlignment="1" applyBorder="1" applyFill="1" applyFont="1">
      <alignment horizontal="center" readingOrder="0" shrinkToFit="0" vertical="bottom" wrapText="0"/>
    </xf>
    <xf borderId="10" fillId="6" fontId="9" numFmtId="0" xfId="0" applyAlignment="1" applyBorder="1" applyFill="1" applyFont="1">
      <alignment horizontal="center" readingOrder="0" shrinkToFit="0" wrapText="0"/>
    </xf>
    <xf borderId="0" fillId="0" fontId="1" numFmtId="0" xfId="0" applyAlignment="1" applyFont="1">
      <alignment horizontal="center" shrinkToFit="0" wrapText="0"/>
    </xf>
    <xf borderId="11" fillId="7" fontId="3" numFmtId="0" xfId="0" applyAlignment="1" applyBorder="1" applyFill="1" applyFont="1">
      <alignment horizontal="center" readingOrder="0" shrinkToFit="0" wrapText="0"/>
    </xf>
    <xf borderId="8" fillId="7" fontId="3" numFmtId="0" xfId="0" applyAlignment="1" applyBorder="1" applyFill="1" applyFont="1">
      <alignment horizontal="center" readingOrder="0" shrinkToFit="0" wrapText="0"/>
    </xf>
    <xf borderId="6" fillId="7" fontId="3" numFmtId="0" xfId="0" applyAlignment="1" applyBorder="1" applyFill="1" applyFont="1">
      <alignment horizontal="center" readingOrder="0" shrinkToFit="0" wrapText="0"/>
    </xf>
    <xf borderId="8" fillId="7" fontId="3" numFmtId="1" xfId="0" applyAlignment="1" applyBorder="1" applyFill="1" applyFont="1" applyNumberFormat="1">
      <alignment horizontal="center" readingOrder="0" shrinkToFit="0" wrapText="0"/>
    </xf>
    <xf borderId="8" fillId="7" fontId="10" numFmtId="0" xfId="0" applyAlignment="1" applyBorder="1" applyFill="1" applyFont="1">
      <alignment horizontal="center" readingOrder="0" shrinkToFit="0" wrapText="0"/>
    </xf>
    <xf borderId="8" fillId="7" fontId="3" numFmtId="1" xfId="0" applyAlignment="1" applyBorder="1" applyFill="1" applyFont="1" applyNumberFormat="1">
      <alignment horizontal="right" readingOrder="0" shrinkToFit="0" vertical="bottom" wrapText="0"/>
    </xf>
    <xf borderId="6" fillId="6" fontId="3" numFmtId="0" xfId="0" applyAlignment="1" applyBorder="1" applyFill="1" applyFont="1">
      <alignment horizontal="center" shrinkToFit="0" vertical="bottom" wrapText="0"/>
    </xf>
    <xf borderId="0" fillId="0" fontId="11" numFmtId="0" xfId="0" applyAlignment="1" applyFont="1">
      <alignment horizontal="center" readingOrder="0" shrinkToFit="0" wrapText="0"/>
    </xf>
    <xf borderId="6" fillId="6" fontId="1" numFmtId="0" xfId="0" applyAlignment="1" applyBorder="1" applyFill="1" applyFont="1">
      <alignment horizontal="center" readingOrder="0" shrinkToFit="0" vertical="bottom" wrapText="0"/>
    </xf>
    <xf borderId="6" fillId="6" fontId="3" numFmtId="0" xfId="0" applyAlignment="1" applyBorder="1" applyFill="1" applyFont="1">
      <alignment horizontal="center" shrinkToFit="0" vertical="bottom" wrapText="0"/>
    </xf>
    <xf borderId="6" fillId="0" fontId="12" numFmtId="0" xfId="0" applyAlignment="1" applyBorder="1" applyFont="1">
      <alignment horizontal="center" readingOrder="0" shrinkToFit="0" vertical="bottom" wrapText="0"/>
    </xf>
    <xf borderId="6" fillId="0" fontId="13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readingOrder="0" shrinkToFit="0" vertical="bottom" wrapText="0"/>
    </xf>
    <xf borderId="0" fillId="8" fontId="1" numFmtId="0" xfId="0" applyAlignment="1" applyFill="1" applyFont="1">
      <alignment horizontal="center" readingOrder="0" shrinkToFit="0" vertical="bottom" wrapText="0"/>
    </xf>
    <xf borderId="6" fillId="2" fontId="14" numFmtId="0" xfId="0" applyAlignment="1" applyBorder="1" applyFill="1" applyFont="1">
      <alignment horizontal="center" readingOrder="0"/>
    </xf>
    <xf borderId="6" fillId="9" fontId="1" numFmtId="0" xfId="0" applyAlignment="1" applyBorder="1" applyFill="1" applyFont="1">
      <alignment horizontal="center" readingOrder="0" shrinkToFit="0" vertical="bottom" wrapText="0"/>
    </xf>
    <xf borderId="6" fillId="2" fontId="15" numFmtId="0" xfId="0" applyAlignment="1" applyBorder="1" applyFill="1" applyFont="1">
      <alignment horizontal="center" readingOrder="0"/>
    </xf>
    <xf borderId="6" fillId="10" fontId="15" numFmtId="0" xfId="0" applyAlignment="1" applyBorder="1" applyFill="1" applyFont="1">
      <alignment horizontal="center" readingOrder="0"/>
    </xf>
    <xf borderId="6" fillId="10" fontId="1" numFmtId="0" xfId="0" applyAlignment="1" applyBorder="1" applyFill="1" applyFont="1">
      <alignment horizontal="center" readingOrder="0" shrinkToFit="0" vertical="bottom" wrapText="0"/>
    </xf>
    <xf borderId="6" fillId="10" fontId="14" numFmtId="0" xfId="0" applyAlignment="1" applyBorder="1" applyFill="1" applyFont="1">
      <alignment horizontal="center" readingOrder="0"/>
    </xf>
    <xf borderId="0" fillId="0" fontId="4" numFmtId="0" xfId="0" applyAlignment="1" applyFont="1">
      <alignment readingOrder="0"/>
    </xf>
    <xf borderId="6" fillId="9" fontId="3" numFmtId="0" xfId="0" applyAlignment="1" applyBorder="1" applyFill="1" applyFont="1">
      <alignment horizontal="center" shrinkToFit="0" vertical="bottom" wrapText="0"/>
    </xf>
    <xf borderId="12" fillId="2" fontId="16" numFmtId="0" xfId="0" applyAlignment="1" applyBorder="1" applyFill="1" applyFont="1">
      <alignment horizontal="center" readingOrder="0" shrinkToFit="0" vertical="center" wrapText="1"/>
    </xf>
    <xf borderId="12" fillId="11" fontId="17" numFmtId="0" xfId="0" applyAlignment="1" applyBorder="1" applyFill="1" applyFont="1">
      <alignment horizontal="center" vertical="center"/>
    </xf>
    <xf borderId="6" fillId="11" fontId="14" numFmtId="0" xfId="0" applyAlignment="1" applyBorder="1" applyFill="1" applyFont="1">
      <alignment horizontal="center" readingOrder="0"/>
    </xf>
    <xf borderId="12" fillId="11" fontId="3" numFmtId="0" xfId="0" applyAlignment="1" applyBorder="1" applyFill="1" applyFont="1">
      <alignment horizontal="center" readingOrder="0" shrinkToFit="0" vertical="center" wrapText="0"/>
    </xf>
    <xf borderId="12" fillId="11" fontId="3" numFmtId="0" xfId="0" applyAlignment="1" applyBorder="1" applyFill="1" applyFont="1">
      <alignment horizontal="center" shrinkToFit="0" vertical="center" wrapText="0"/>
    </xf>
    <xf borderId="12" fillId="11" fontId="4" numFmtId="0" xfId="0" applyAlignment="1" applyBorder="1" applyFill="1" applyFont="1">
      <alignment horizontal="center" readingOrder="0" vertical="center"/>
    </xf>
    <xf borderId="0" fillId="8" fontId="3" numFmtId="0" xfId="0" applyAlignment="1" applyFill="1" applyFont="1">
      <alignment horizontal="center" shrinkToFit="0" vertical="bottom" wrapText="0"/>
    </xf>
    <xf borderId="11" fillId="0" fontId="2" numFmtId="0" xfId="0" applyBorder="1" applyFont="1"/>
    <xf borderId="13" fillId="0" fontId="2" numFmtId="0" xfId="0" applyBorder="1" applyFont="1"/>
    <xf borderId="6" fillId="2" fontId="11" numFmtId="0" xfId="0" applyAlignment="1" applyBorder="1" applyFill="1" applyFont="1">
      <alignment horizontal="center" readingOrder="0"/>
    </xf>
    <xf borderId="6" fillId="11" fontId="3" numFmtId="0" xfId="0" applyAlignment="1" applyBorder="1" applyFill="1" applyFont="1">
      <alignment horizontal="center" readingOrder="0" shrinkToFit="0" vertical="bottom" wrapText="0"/>
    </xf>
    <xf borderId="6" fillId="12" fontId="14" numFmtId="0" xfId="0" applyAlignment="1" applyBorder="1" applyFill="1" applyFont="1">
      <alignment horizontal="center" readingOrder="0"/>
    </xf>
    <xf borderId="6" fillId="2" fontId="18" numFmtId="0" xfId="0" applyAlignment="1" applyBorder="1" applyFill="1" applyFont="1">
      <alignment horizontal="center" readingOrder="0"/>
    </xf>
    <xf borderId="0" fillId="2" fontId="14" numFmtId="0" xfId="0" applyAlignment="1" applyFill="1" applyFont="1">
      <alignment horizontal="center" readingOrder="0"/>
    </xf>
    <xf borderId="6" fillId="12" fontId="1" numFmtId="0" xfId="0" applyAlignment="1" applyBorder="1" applyFill="1" applyFont="1">
      <alignment horizontal="center" readingOrder="0" shrinkToFit="0" vertical="bottom" wrapText="0"/>
    </xf>
    <xf borderId="6" fillId="12" fontId="3" numFmtId="0" xfId="0" applyAlignment="1" applyBorder="1" applyFill="1" applyFont="1">
      <alignment horizontal="center" shrinkToFit="0" vertical="bottom" wrapText="0"/>
    </xf>
    <xf borderId="10" fillId="10" fontId="1" numFmtId="0" xfId="0" applyAlignment="1" applyBorder="1" applyFill="1" applyFont="1">
      <alignment horizontal="center" readingOrder="0" shrinkToFit="0" vertical="bottom" wrapText="0"/>
    </xf>
    <xf borderId="14" fillId="0" fontId="2" numFmtId="0" xfId="0" applyBorder="1" applyFont="1"/>
    <xf borderId="6" fillId="11" fontId="3" numFmtId="0" xfId="0" applyAlignment="1" applyBorder="1" applyFill="1" applyFont="1">
      <alignment horizontal="center" shrinkToFit="0" vertical="bottom" wrapText="0"/>
    </xf>
    <xf borderId="6" fillId="10" fontId="4" numFmtId="0" xfId="0" applyAlignment="1" applyBorder="1" applyFill="1" applyFont="1">
      <alignment readingOrder="0"/>
    </xf>
    <xf borderId="6" fillId="11" fontId="1" numFmtId="0" xfId="0" applyAlignment="1" applyBorder="1" applyFill="1" applyFont="1">
      <alignment horizontal="center" readingOrder="0" shrinkToFit="0" vertical="bottom" wrapText="0"/>
    </xf>
    <xf borderId="6" fillId="11" fontId="4" numFmtId="0" xfId="0" applyAlignment="1" applyBorder="1" applyFill="1" applyFont="1">
      <alignment horizontal="center"/>
    </xf>
    <xf borderId="6" fillId="12" fontId="4" numFmtId="0" xfId="0" applyAlignment="1" applyBorder="1" applyFill="1" applyFont="1">
      <alignment horizontal="center"/>
    </xf>
    <xf borderId="15" fillId="8" fontId="3" numFmtId="0" xfId="0" applyAlignment="1" applyBorder="1" applyFill="1" applyFont="1">
      <alignment shrinkToFit="0" vertical="bottom" wrapText="0"/>
    </xf>
    <xf borderId="6" fillId="12" fontId="3" numFmtId="0" xfId="0" applyAlignment="1" applyBorder="1" applyFill="1" applyFont="1">
      <alignment horizontal="center" readingOrder="0" shrinkToFit="0" vertical="bottom" wrapText="0"/>
    </xf>
    <xf borderId="13" fillId="2" fontId="1" numFmtId="0" xfId="0" applyAlignment="1" applyBorder="1" applyFill="1" applyFont="1">
      <alignment horizontal="center" readingOrder="0" shrinkToFit="0" wrapText="0"/>
    </xf>
    <xf borderId="5" fillId="2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 shrinkToFit="0" wrapText="0"/>
    </xf>
    <xf borderId="3" fillId="2" fontId="1" numFmtId="0" xfId="0" applyAlignment="1" applyBorder="1" applyFill="1" applyFont="1">
      <alignment horizontal="center" readingOrder="0"/>
    </xf>
    <xf borderId="10" fillId="2" fontId="1" numFmtId="0" xfId="0" applyAlignment="1" applyBorder="1" applyFill="1" applyFont="1">
      <alignment horizontal="center" readingOrder="0" shrinkToFit="0" wrapText="0"/>
    </xf>
    <xf borderId="12" fillId="13" fontId="3" numFmtId="0" xfId="0" applyAlignment="1" applyBorder="1" applyFill="1" applyFont="1">
      <alignment horizontal="center" readingOrder="0" shrinkToFit="0" wrapText="0"/>
    </xf>
    <xf borderId="1" fillId="13" fontId="3" numFmtId="0" xfId="0" applyAlignment="1" applyBorder="1" applyFill="1" applyFont="1">
      <alignment horizontal="center" readingOrder="0" shrinkToFit="0" wrapText="0"/>
    </xf>
    <xf borderId="6" fillId="13" fontId="3" numFmtId="0" xfId="0" applyAlignment="1" applyBorder="1" applyFill="1" applyFont="1">
      <alignment readingOrder="0" shrinkToFit="0" vertical="bottom" wrapText="0"/>
    </xf>
    <xf borderId="4" fillId="13" fontId="3" numFmtId="0" xfId="0" applyAlignment="1" applyBorder="1" applyFill="1" applyFont="1">
      <alignment horizontal="center" readingOrder="0" shrinkToFit="0" vertical="bottom" wrapText="0"/>
    </xf>
    <xf borderId="4" fillId="13" fontId="3" numFmtId="0" xfId="0" applyAlignment="1" applyBorder="1" applyFill="1" applyFont="1">
      <alignment readingOrder="0" shrinkToFit="0" vertical="bottom" wrapText="0"/>
    </xf>
    <xf borderId="6" fillId="13" fontId="3" numFmtId="0" xfId="0" applyAlignment="1" applyBorder="1" applyFill="1" applyFont="1">
      <alignment horizontal="center" readingOrder="0" shrinkToFit="0" vertical="bottom" wrapText="0"/>
    </xf>
    <xf borderId="12" fillId="11" fontId="3" numFmtId="0" xfId="0" applyAlignment="1" applyBorder="1" applyFill="1" applyFont="1">
      <alignment horizontal="center" readingOrder="0" shrinkToFit="0" wrapText="0"/>
    </xf>
    <xf borderId="1" fillId="11" fontId="3" numFmtId="0" xfId="0" applyAlignment="1" applyBorder="1" applyFill="1" applyFont="1">
      <alignment horizontal="center" readingOrder="0" shrinkToFit="0" wrapText="0"/>
    </xf>
    <xf borderId="6" fillId="11" fontId="3" numFmtId="0" xfId="0" applyAlignment="1" applyBorder="1" applyFill="1" applyFont="1">
      <alignment readingOrder="0" shrinkToFit="0" vertical="bottom" wrapText="0"/>
    </xf>
    <xf borderId="4" fillId="11" fontId="3" numFmtId="0" xfId="0" applyAlignment="1" applyBorder="1" applyFill="1" applyFont="1">
      <alignment horizontal="center" readingOrder="0" shrinkToFit="0" vertical="bottom" wrapText="0"/>
    </xf>
    <xf borderId="6" fillId="11" fontId="4" numFmtId="0" xfId="0" applyAlignment="1" applyBorder="1" applyFill="1" applyFont="1">
      <alignment readingOrder="0"/>
    </xf>
    <xf borderId="6" fillId="5" fontId="4" numFmtId="0" xfId="0" applyAlignment="1" applyBorder="1" applyFill="1" applyFont="1">
      <alignment readingOrder="0"/>
    </xf>
    <xf borderId="11" fillId="13" fontId="3" numFmtId="0" xfId="0" applyAlignment="1" applyBorder="1" applyFill="1" applyFont="1">
      <alignment readingOrder="0" shrinkToFit="0" vertical="bottom" wrapText="0"/>
    </xf>
    <xf borderId="8" fillId="13" fontId="3" numFmtId="0" xfId="0" applyAlignment="1" applyBorder="1" applyFill="1" applyFont="1">
      <alignment readingOrder="0" shrinkToFit="0" vertical="bottom" wrapText="0"/>
    </xf>
    <xf borderId="8" fillId="13" fontId="3" numFmtId="0" xfId="0" applyAlignment="1" applyBorder="1" applyFill="1" applyFont="1">
      <alignment horizontal="center" readingOrder="0" shrinkToFit="0" vertical="bottom" wrapText="0"/>
    </xf>
    <xf borderId="11" fillId="13" fontId="3" numFmtId="0" xfId="0" applyAlignment="1" applyBorder="1" applyFill="1" applyFont="1">
      <alignment horizontal="center" readingOrder="0" shrinkToFit="0" vertical="bottom" wrapText="0"/>
    </xf>
    <xf borderId="11" fillId="11" fontId="3" numFmtId="0" xfId="0" applyAlignment="1" applyBorder="1" applyFill="1" applyFont="1">
      <alignment readingOrder="0" shrinkToFit="0" vertical="bottom" wrapText="0"/>
    </xf>
    <xf borderId="6" fillId="14" fontId="4" numFmtId="9" xfId="0" applyAlignment="1" applyBorder="1" applyFill="1" applyFont="1" applyNumberFormat="1">
      <alignment horizontal="left" readingOrder="0"/>
    </xf>
    <xf borderId="6" fillId="14" fontId="4" numFmtId="0" xfId="0" applyAlignment="1" applyBorder="1" applyFill="1" applyFont="1">
      <alignment horizontal="left" readingOrder="0"/>
    </xf>
    <xf borderId="13" fillId="14" fontId="3" numFmtId="0" xfId="0" applyAlignment="1" applyBorder="1" applyFill="1" applyFont="1">
      <alignment horizontal="center" readingOrder="0" shrinkToFit="0" wrapText="0"/>
    </xf>
    <xf borderId="1" fillId="14" fontId="3" numFmtId="0" xfId="0" applyAlignment="1" applyBorder="1" applyFill="1" applyFont="1">
      <alignment horizontal="center" readingOrder="0" shrinkToFit="0" wrapText="0"/>
    </xf>
    <xf borderId="11" fillId="14" fontId="3" numFmtId="0" xfId="0" applyAlignment="1" applyBorder="1" applyFill="1" applyFont="1">
      <alignment shrinkToFit="0" vertical="bottom" wrapText="0"/>
    </xf>
    <xf borderId="8" fillId="14" fontId="3" numFmtId="0" xfId="0" applyAlignment="1" applyBorder="1" applyFill="1" applyFont="1">
      <alignment horizontal="center" readingOrder="0" shrinkToFit="0" vertical="bottom" wrapText="0"/>
    </xf>
    <xf borderId="8" fillId="14" fontId="3" numFmtId="0" xfId="0" applyAlignment="1" applyBorder="1" applyFill="1" applyFont="1">
      <alignment readingOrder="0" shrinkToFit="0" vertical="bottom" wrapText="0"/>
    </xf>
    <xf borderId="11" fillId="14" fontId="3" numFmtId="0" xfId="0" applyAlignment="1" applyBorder="1" applyFill="1" applyFont="1">
      <alignment horizontal="center" readingOrder="0" shrinkToFit="0" vertical="bottom" wrapText="0"/>
    </xf>
    <xf borderId="11" fillId="14" fontId="3" numFmtId="0" xfId="0" applyAlignment="1" applyBorder="1" applyFill="1" applyFont="1">
      <alignment horizontal="left" readingOrder="0" shrinkToFit="0" vertical="bottom" wrapText="0"/>
    </xf>
    <xf borderId="13" fillId="11" fontId="3" numFmtId="0" xfId="0" applyAlignment="1" applyBorder="1" applyFill="1" applyFont="1">
      <alignment horizontal="center" readingOrder="0" shrinkToFit="0" wrapText="0"/>
    </xf>
    <xf borderId="11" fillId="11" fontId="3" numFmtId="0" xfId="0" applyAlignment="1" applyBorder="1" applyFill="1" applyFont="1">
      <alignment shrinkToFit="0" vertical="bottom" wrapText="0"/>
    </xf>
    <xf borderId="8" fillId="11" fontId="3" numFmtId="0" xfId="0" applyAlignment="1" applyBorder="1" applyFill="1" applyFont="1">
      <alignment horizontal="center" readingOrder="0" shrinkToFit="0" vertical="bottom" wrapText="0"/>
    </xf>
    <xf borderId="13" fillId="13" fontId="3" numFmtId="0" xfId="0" applyAlignment="1" applyBorder="1" applyFill="1" applyFont="1">
      <alignment horizontal="center" readingOrder="0" shrinkToFit="0" wrapText="0"/>
    </xf>
    <xf borderId="11" fillId="13" fontId="3" numFmtId="0" xfId="0" applyAlignment="1" applyBorder="1" applyFill="1" applyFont="1">
      <alignment shrinkToFit="0" vertical="bottom" wrapText="0"/>
    </xf>
    <xf borderId="8" fillId="13" fontId="3" numFmtId="0" xfId="0" applyAlignment="1" applyBorder="1" applyFill="1" applyFont="1">
      <alignment horizontal="left" readingOrder="0" shrinkToFit="0" vertical="bottom" wrapText="0"/>
    </xf>
    <xf borderId="11" fillId="13" fontId="3" numFmtId="0" xfId="0" applyAlignment="1" applyBorder="1" applyFill="1" applyFont="1">
      <alignment horizontal="left" readingOrder="0" shrinkToFit="0" vertical="bottom" wrapText="0"/>
    </xf>
    <xf borderId="8" fillId="14" fontId="3" numFmtId="0" xfId="0" applyAlignment="1" applyBorder="1" applyFill="1" applyFont="1">
      <alignment horizontal="left" readingOrder="0" shrinkToFit="0" vertical="bottom" wrapText="0"/>
    </xf>
    <xf borderId="6" fillId="14" fontId="3" numFmtId="0" xfId="0" applyAlignment="1" applyBorder="1" applyFill="1" applyFont="1">
      <alignment horizontal="center" readingOrder="0" shrinkToFit="0" vertical="bottom" wrapText="0"/>
    </xf>
    <xf borderId="1" fillId="13" fontId="3" numFmtId="0" xfId="0" applyAlignment="1" applyBorder="1" applyFill="1" applyFont="1">
      <alignment horizontal="center" readingOrder="0" vertical="top"/>
    </xf>
    <xf borderId="11" fillId="14" fontId="3" numFmtId="0" xfId="0" applyAlignment="1" applyBorder="1" applyFill="1" applyFont="1">
      <alignment readingOrder="0" shrinkToFit="0" vertical="bottom" wrapText="0"/>
    </xf>
    <xf borderId="4" fillId="14" fontId="3" numFmtId="0" xfId="0" applyAlignment="1" applyBorder="1" applyFill="1" applyFont="1">
      <alignment horizontal="left" readingOrder="0" shrinkToFit="0" vertical="bottom" wrapText="0"/>
    </xf>
    <xf borderId="6" fillId="14" fontId="3" numFmtId="0" xfId="0" applyAlignment="1" applyBorder="1" applyFill="1" applyFont="1">
      <alignment horizontal="left" readingOrder="0" shrinkToFit="0" vertical="bottom" wrapText="0"/>
    </xf>
    <xf borderId="6" fillId="13" fontId="3" numFmtId="0" xfId="0" applyAlignment="1" applyBorder="1" applyFill="1" applyFont="1">
      <alignment horizontal="left" readingOrder="0" shrinkToFit="0" vertical="bottom" wrapText="0"/>
    </xf>
    <xf borderId="0" fillId="8" fontId="19" numFmtId="0" xfId="0" applyAlignment="1" applyFill="1" applyFont="1">
      <alignment horizontal="center" readingOrder="0" shrinkToFit="0" vertical="bottom" wrapText="0"/>
    </xf>
    <xf borderId="0" fillId="8" fontId="20" numFmtId="0" xfId="0" applyAlignment="1" applyFill="1" applyFont="1">
      <alignment vertical="bottom"/>
    </xf>
    <xf borderId="0" fillId="8" fontId="4" numFmtId="0" xfId="0" applyFill="1" applyFont="1"/>
    <xf borderId="0" fillId="8" fontId="21" numFmtId="0" xfId="0" applyAlignment="1" applyFill="1" applyFont="1">
      <alignment horizontal="center" readingOrder="0"/>
    </xf>
    <xf borderId="0" fillId="8" fontId="22" numFmtId="0" xfId="0" applyAlignment="1" applyFill="1" applyFont="1">
      <alignment horizontal="center" readingOrder="0" shrinkToFit="0" vertical="bottom" wrapText="0"/>
    </xf>
    <xf borderId="0" fillId="8" fontId="22" numFmtId="0" xfId="0" applyAlignment="1" applyFill="1" applyFont="1">
      <alignment horizontal="left" shrinkToFit="0" vertical="bottom" wrapText="0"/>
    </xf>
    <xf borderId="0" fillId="8" fontId="22" numFmtId="0" xfId="0" applyAlignment="1" applyFill="1" applyFont="1">
      <alignment horizontal="left" readingOrder="0" shrinkToFit="0" vertical="bottom" wrapText="0"/>
    </xf>
    <xf borderId="0" fillId="8" fontId="20" numFmtId="0" xfId="0" applyAlignment="1" applyFill="1" applyFont="1">
      <alignment vertical="bottom"/>
    </xf>
    <xf borderId="0" fillId="0" fontId="4" numFmtId="0" xfId="0" applyAlignment="1" applyFont="1">
      <alignment horizontal="right"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wakfu.com/es/foro/68-ecosistema/149778-rutas-maritimas-recursos-rutas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25"/>
    <col customWidth="1" min="3" max="3" width="13.75"/>
    <col customWidth="1" min="4" max="4" width="20.0"/>
    <col customWidth="1" min="5" max="5" width="26.75"/>
    <col customWidth="1" min="6" max="6" width="29.38"/>
    <col customWidth="1" min="7" max="7" width="25.38"/>
    <col customWidth="1" min="8" max="8" width="26.25"/>
    <col customWidth="1" min="9" max="9" width="35.0"/>
    <col customWidth="1" min="10" max="10" width="20.5"/>
    <col customWidth="1" min="11" max="11" width="25.88"/>
    <col customWidth="1" min="12" max="12" width="29.75"/>
    <col customWidth="1" min="13" max="13" width="44.5"/>
    <col customWidth="1" min="14" max="14" width="31.75"/>
    <col customWidth="1" min="15" max="15" width="45.38"/>
    <col customWidth="1" min="16" max="16" width="36.63"/>
    <col customWidth="1" min="17" max="17" width="29.0"/>
    <col customWidth="1" min="18" max="18" width="28.38"/>
    <col customWidth="1" min="19" max="19" width="31.0"/>
    <col customWidth="1" min="20" max="20" width="29.75"/>
    <col customWidth="1" min="21" max="21" width="32.38"/>
    <col customWidth="1" min="22" max="22" width="29.38"/>
    <col customWidth="1" min="23" max="23" width="41.0"/>
    <col customWidth="1" min="24" max="24" width="14.25"/>
    <col customWidth="1" min="25" max="25" width="12.25"/>
    <col customWidth="1" min="26" max="26" width="14.38"/>
    <col customWidth="1" min="27" max="27" width="14.75"/>
  </cols>
  <sheetData>
    <row r="1">
      <c r="A1" s="1" t="s">
        <v>0</v>
      </c>
      <c r="B1" s="2"/>
      <c r="C1" s="3" t="s">
        <v>1</v>
      </c>
      <c r="E1" s="4"/>
      <c r="F1" s="5">
        <v>10.0</v>
      </c>
      <c r="G1" s="6" t="s">
        <v>2</v>
      </c>
      <c r="H1" s="7">
        <v>0.0</v>
      </c>
      <c r="I1" s="8" t="s">
        <v>3</v>
      </c>
      <c r="J1" s="9"/>
      <c r="K1" s="2"/>
      <c r="L1" s="10" t="s">
        <v>4</v>
      </c>
      <c r="M1" s="11">
        <v>1.0</v>
      </c>
      <c r="O1" s="12"/>
      <c r="P1" s="12"/>
      <c r="Q1" s="12"/>
      <c r="R1" s="12"/>
      <c r="S1" s="12"/>
    </row>
    <row r="2">
      <c r="A2" s="13"/>
      <c r="B2" s="14"/>
      <c r="C2" s="15" t="s">
        <v>5</v>
      </c>
      <c r="D2" s="16"/>
      <c r="E2" s="14"/>
      <c r="F2" s="17">
        <v>1.0</v>
      </c>
      <c r="G2" s="18">
        <f>IF(F2=1, 1.5, IF(F2=2, 2, 1))+(M1*0.5)</f>
        <v>2</v>
      </c>
      <c r="H2" s="19" t="s">
        <v>6</v>
      </c>
      <c r="I2" s="20"/>
      <c r="J2" s="21" t="s">
        <v>7</v>
      </c>
      <c r="K2" s="20"/>
      <c r="L2" s="22" t="s">
        <v>8</v>
      </c>
      <c r="M2" s="22" t="s">
        <v>9</v>
      </c>
      <c r="N2" s="23" t="s">
        <v>10</v>
      </c>
      <c r="O2" s="22" t="s">
        <v>11</v>
      </c>
      <c r="P2" s="24" t="s">
        <v>12</v>
      </c>
      <c r="Q2" s="20"/>
      <c r="R2" s="12"/>
      <c r="S2" s="12"/>
      <c r="T2" s="12"/>
      <c r="U2" s="12"/>
    </row>
    <row r="3">
      <c r="A3" s="25" t="s">
        <v>13</v>
      </c>
      <c r="B3" s="26"/>
      <c r="C3" s="27" t="s">
        <v>14</v>
      </c>
      <c r="D3" s="28" t="s">
        <v>15</v>
      </c>
      <c r="E3" s="29" t="s">
        <v>16</v>
      </c>
      <c r="F3" s="29" t="s">
        <v>17</v>
      </c>
      <c r="G3" s="29" t="s">
        <v>18</v>
      </c>
      <c r="H3" s="30" t="s">
        <v>19</v>
      </c>
      <c r="I3" s="30" t="s">
        <v>20</v>
      </c>
      <c r="J3" s="31" t="s">
        <v>19</v>
      </c>
      <c r="K3" s="31" t="s">
        <v>20</v>
      </c>
      <c r="L3" s="32" t="s">
        <v>21</v>
      </c>
      <c r="M3" s="32" t="s">
        <v>22</v>
      </c>
      <c r="N3" s="32" t="s">
        <v>23</v>
      </c>
      <c r="O3" s="33">
        <v>8817.0</v>
      </c>
      <c r="P3" s="34" t="s">
        <v>24</v>
      </c>
      <c r="Q3" s="20"/>
      <c r="R3" s="35"/>
      <c r="S3" s="35"/>
      <c r="T3" s="35"/>
      <c r="U3" s="35"/>
    </row>
    <row r="4">
      <c r="A4" s="36">
        <v>0.0</v>
      </c>
      <c r="B4" s="37" t="s">
        <v>25</v>
      </c>
      <c r="C4" s="37">
        <f t="shared" ref="C4:C19" si="1">A4+10</f>
        <v>10</v>
      </c>
      <c r="D4" s="37">
        <f t="shared" ref="D4:D19" si="2">1500*(5+A4)</f>
        <v>7500</v>
      </c>
      <c r="E4" s="38">
        <f>ROUND((300*(1+(F1)/100))*G2,0)</f>
        <v>660</v>
      </c>
      <c r="F4" s="39">
        <f t="shared" ref="F4:F19" si="3">ROUNDUP(D4/E4,0)</f>
        <v>12</v>
      </c>
      <c r="G4" s="40" t="s">
        <v>26</v>
      </c>
      <c r="H4" s="41">
        <f t="shared" ref="H4:H19" si="4">F4*5</f>
        <v>60</v>
      </c>
      <c r="I4" s="41">
        <f t="shared" ref="I4:I19" si="5">H4</f>
        <v>60</v>
      </c>
      <c r="J4" s="41">
        <f t="shared" ref="J4:J19" si="6">F4*4</f>
        <v>48</v>
      </c>
      <c r="K4" s="41">
        <f t="shared" ref="K4:K19" si="7">F4*4</f>
        <v>48</v>
      </c>
      <c r="L4" s="33">
        <v>80.0</v>
      </c>
      <c r="M4" s="33">
        <v>90.0</v>
      </c>
      <c r="N4" s="42">
        <f>F998</f>
        <v>118683</v>
      </c>
      <c r="O4" s="12"/>
      <c r="P4" s="43"/>
      <c r="Q4" s="43"/>
      <c r="R4" s="12"/>
      <c r="S4" s="12"/>
      <c r="T4" s="12"/>
      <c r="U4" s="12"/>
    </row>
    <row r="5">
      <c r="A5" s="36">
        <v>10.0</v>
      </c>
      <c r="B5" s="37" t="s">
        <v>25</v>
      </c>
      <c r="C5" s="37">
        <f t="shared" si="1"/>
        <v>20</v>
      </c>
      <c r="D5" s="37">
        <f t="shared" si="2"/>
        <v>22500</v>
      </c>
      <c r="E5" s="38">
        <f>ROUND((300*(1+($F1)/100))*$G2,0)</f>
        <v>660</v>
      </c>
      <c r="F5" s="39">
        <f t="shared" si="3"/>
        <v>35</v>
      </c>
      <c r="G5" s="40" t="s">
        <v>27</v>
      </c>
      <c r="H5" s="41">
        <f t="shared" si="4"/>
        <v>175</v>
      </c>
      <c r="I5" s="41">
        <f t="shared" si="5"/>
        <v>175</v>
      </c>
      <c r="J5" s="41">
        <f t="shared" si="6"/>
        <v>140</v>
      </c>
      <c r="K5" s="41">
        <f t="shared" si="7"/>
        <v>140</v>
      </c>
      <c r="L5" s="44" t="s">
        <v>28</v>
      </c>
      <c r="M5" s="44" t="s">
        <v>19</v>
      </c>
      <c r="N5" s="44" t="s">
        <v>20</v>
      </c>
      <c r="O5" s="12"/>
      <c r="P5" s="43"/>
      <c r="Q5" s="43"/>
      <c r="R5" s="12"/>
      <c r="S5" s="12"/>
      <c r="T5" s="12"/>
      <c r="U5" s="12"/>
    </row>
    <row r="6">
      <c r="A6" s="36">
        <v>20.0</v>
      </c>
      <c r="B6" s="37" t="s">
        <v>25</v>
      </c>
      <c r="C6" s="37">
        <f t="shared" si="1"/>
        <v>30</v>
      </c>
      <c r="D6" s="37">
        <f t="shared" si="2"/>
        <v>37500</v>
      </c>
      <c r="E6" s="38">
        <f>ROUND((300*(1+($F1)/100))*$G2,0)</f>
        <v>660</v>
      </c>
      <c r="F6" s="39">
        <f t="shared" si="3"/>
        <v>57</v>
      </c>
      <c r="G6" s="40" t="s">
        <v>29</v>
      </c>
      <c r="H6" s="41">
        <f t="shared" si="4"/>
        <v>285</v>
      </c>
      <c r="I6" s="41">
        <f t="shared" si="5"/>
        <v>285</v>
      </c>
      <c r="J6" s="41">
        <f t="shared" si="6"/>
        <v>228</v>
      </c>
      <c r="K6" s="41">
        <f t="shared" si="7"/>
        <v>228</v>
      </c>
      <c r="L6" s="45">
        <f>H998</f>
        <v>180</v>
      </c>
      <c r="M6" s="45">
        <f>(H998*5)</f>
        <v>900</v>
      </c>
      <c r="N6" s="45">
        <f>(H998*5)</f>
        <v>900</v>
      </c>
      <c r="O6" s="12"/>
      <c r="P6" s="12"/>
      <c r="Q6" s="12"/>
      <c r="R6" s="12"/>
      <c r="S6" s="12"/>
      <c r="T6" s="12"/>
      <c r="U6" s="12"/>
    </row>
    <row r="7">
      <c r="A7" s="36">
        <v>30.0</v>
      </c>
      <c r="B7" s="37" t="s">
        <v>25</v>
      </c>
      <c r="C7" s="37">
        <f t="shared" si="1"/>
        <v>40</v>
      </c>
      <c r="D7" s="37">
        <f t="shared" si="2"/>
        <v>52500</v>
      </c>
      <c r="E7" s="38">
        <f>ROUND((300*(1+($F1)/100))*$G2,0)</f>
        <v>660</v>
      </c>
      <c r="F7" s="39">
        <f t="shared" si="3"/>
        <v>80</v>
      </c>
      <c r="G7" s="40" t="s">
        <v>30</v>
      </c>
      <c r="H7" s="41">
        <f t="shared" si="4"/>
        <v>400</v>
      </c>
      <c r="I7" s="41">
        <f t="shared" si="5"/>
        <v>400</v>
      </c>
      <c r="J7" s="41">
        <f t="shared" si="6"/>
        <v>320</v>
      </c>
      <c r="K7" s="41">
        <f t="shared" si="7"/>
        <v>320</v>
      </c>
      <c r="L7" s="46" t="s">
        <v>31</v>
      </c>
      <c r="M7" s="47" t="s">
        <v>32</v>
      </c>
      <c r="N7" s="48" t="s">
        <v>33</v>
      </c>
      <c r="O7" s="47" t="s">
        <v>34</v>
      </c>
      <c r="R7" s="12"/>
      <c r="S7" s="49"/>
      <c r="T7" s="12"/>
      <c r="U7" s="12"/>
    </row>
    <row r="8">
      <c r="A8" s="36">
        <v>40.0</v>
      </c>
      <c r="B8" s="37" t="s">
        <v>25</v>
      </c>
      <c r="C8" s="37">
        <f t="shared" si="1"/>
        <v>50</v>
      </c>
      <c r="D8" s="37">
        <f t="shared" si="2"/>
        <v>67500</v>
      </c>
      <c r="E8" s="38">
        <f>ROUND((300*(1+($F1)/100))*$G2,0)</f>
        <v>660</v>
      </c>
      <c r="F8" s="39">
        <f t="shared" si="3"/>
        <v>103</v>
      </c>
      <c r="G8" s="40" t="s">
        <v>35</v>
      </c>
      <c r="H8" s="41">
        <f t="shared" si="4"/>
        <v>515</v>
      </c>
      <c r="I8" s="41">
        <f t="shared" si="5"/>
        <v>515</v>
      </c>
      <c r="J8" s="41">
        <f t="shared" si="6"/>
        <v>412</v>
      </c>
      <c r="K8" s="41">
        <f t="shared" si="7"/>
        <v>412</v>
      </c>
      <c r="L8" s="50" t="s">
        <v>7</v>
      </c>
      <c r="M8" s="12"/>
      <c r="N8" s="12"/>
      <c r="O8" s="50" t="s">
        <v>36</v>
      </c>
      <c r="P8" s="22" t="s">
        <v>37</v>
      </c>
      <c r="Q8" s="12"/>
      <c r="R8" s="12"/>
      <c r="S8" s="22" t="s">
        <v>38</v>
      </c>
      <c r="T8" s="12"/>
      <c r="U8" s="12"/>
    </row>
    <row r="9">
      <c r="A9" s="36">
        <v>50.0</v>
      </c>
      <c r="B9" s="37" t="s">
        <v>25</v>
      </c>
      <c r="C9" s="37">
        <f t="shared" si="1"/>
        <v>60</v>
      </c>
      <c r="D9" s="37">
        <f t="shared" si="2"/>
        <v>82500</v>
      </c>
      <c r="E9" s="38">
        <f>ROUND((300*(1+($F1)/100))*$G2,0)</f>
        <v>660</v>
      </c>
      <c r="F9" s="39">
        <f t="shared" si="3"/>
        <v>125</v>
      </c>
      <c r="G9" s="40" t="s">
        <v>39</v>
      </c>
      <c r="H9" s="41">
        <f t="shared" si="4"/>
        <v>625</v>
      </c>
      <c r="I9" s="41">
        <f t="shared" si="5"/>
        <v>625</v>
      </c>
      <c r="J9" s="41">
        <f t="shared" si="6"/>
        <v>500</v>
      </c>
      <c r="K9" s="41">
        <f t="shared" si="7"/>
        <v>500</v>
      </c>
      <c r="L9" s="51" t="s">
        <v>19</v>
      </c>
      <c r="M9" s="51" t="s">
        <v>20</v>
      </c>
      <c r="O9" s="52" t="s">
        <v>40</v>
      </c>
      <c r="P9" s="50" t="s">
        <v>41</v>
      </c>
      <c r="Q9" s="53" t="s">
        <v>42</v>
      </c>
      <c r="S9" s="50" t="s">
        <v>43</v>
      </c>
      <c r="T9" s="54" t="s">
        <v>44</v>
      </c>
      <c r="U9" s="54" t="s">
        <v>45</v>
      </c>
      <c r="V9" s="54" t="s">
        <v>46</v>
      </c>
      <c r="W9" s="55" t="s">
        <v>47</v>
      </c>
      <c r="Y9" s="56"/>
    </row>
    <row r="10">
      <c r="A10" s="36">
        <v>60.0</v>
      </c>
      <c r="B10" s="37" t="s">
        <v>25</v>
      </c>
      <c r="C10" s="37">
        <f t="shared" si="1"/>
        <v>70</v>
      </c>
      <c r="D10" s="37">
        <f t="shared" si="2"/>
        <v>97500</v>
      </c>
      <c r="E10" s="38">
        <f>ROUND((300*(1+($F1)/100))*$G2,0)</f>
        <v>660</v>
      </c>
      <c r="F10" s="39">
        <f t="shared" si="3"/>
        <v>148</v>
      </c>
      <c r="G10" s="40" t="s">
        <v>48</v>
      </c>
      <c r="H10" s="41">
        <f t="shared" si="4"/>
        <v>740</v>
      </c>
      <c r="I10" s="41">
        <f t="shared" si="5"/>
        <v>740</v>
      </c>
      <c r="J10" s="41">
        <f t="shared" si="6"/>
        <v>592</v>
      </c>
      <c r="K10" s="41">
        <f t="shared" si="7"/>
        <v>592</v>
      </c>
      <c r="L10" s="57">
        <f>(H998*4)</f>
        <v>720</v>
      </c>
      <c r="M10" s="57">
        <f>(H998*4)</f>
        <v>720</v>
      </c>
      <c r="O10" s="52" t="s">
        <v>49</v>
      </c>
      <c r="P10" s="58" t="s">
        <v>50</v>
      </c>
      <c r="Q10" s="59">
        <f>ROUNDUP(101*(1+(H1)/100),0)*G2</f>
        <v>202</v>
      </c>
      <c r="S10" s="60" t="s">
        <v>51</v>
      </c>
      <c r="T10" s="61">
        <v>0.0</v>
      </c>
      <c r="U10" s="61">
        <v>0.0</v>
      </c>
      <c r="V10" s="62">
        <f>W10-T10-(U10*10)</f>
        <v>588</v>
      </c>
      <c r="W10" s="63">
        <f>ROUNDUP(F998/Q10,0)</f>
        <v>588</v>
      </c>
    </row>
    <row r="11">
      <c r="A11" s="36">
        <v>70.0</v>
      </c>
      <c r="B11" s="37" t="s">
        <v>25</v>
      </c>
      <c r="C11" s="37">
        <f t="shared" si="1"/>
        <v>80</v>
      </c>
      <c r="D11" s="37">
        <f t="shared" si="2"/>
        <v>112500</v>
      </c>
      <c r="E11" s="38">
        <f>ROUND((300*(1+($F1)/100))*$G2,0)</f>
        <v>660</v>
      </c>
      <c r="F11" s="39">
        <f t="shared" si="3"/>
        <v>171</v>
      </c>
      <c r="G11" s="40" t="s">
        <v>52</v>
      </c>
      <c r="H11" s="41">
        <f t="shared" si="4"/>
        <v>855</v>
      </c>
      <c r="I11" s="41">
        <f t="shared" si="5"/>
        <v>855</v>
      </c>
      <c r="J11" s="41">
        <f t="shared" si="6"/>
        <v>684</v>
      </c>
      <c r="K11" s="41">
        <f t="shared" si="7"/>
        <v>684</v>
      </c>
      <c r="N11" s="64"/>
      <c r="O11" s="52" t="s">
        <v>53</v>
      </c>
      <c r="P11" s="65"/>
      <c r="Q11" s="65"/>
      <c r="S11" s="60" t="s">
        <v>54</v>
      </c>
      <c r="T11" s="66"/>
      <c r="U11" s="66"/>
      <c r="V11" s="66"/>
      <c r="W11" s="65"/>
    </row>
    <row r="12">
      <c r="A12" s="36">
        <v>80.0</v>
      </c>
      <c r="B12" s="37" t="s">
        <v>25</v>
      </c>
      <c r="C12" s="37">
        <f t="shared" si="1"/>
        <v>90</v>
      </c>
      <c r="D12" s="37">
        <f t="shared" si="2"/>
        <v>127500</v>
      </c>
      <c r="E12" s="38">
        <f>ROUND((300*(1+($F1)/100))*$G2,0)</f>
        <v>660</v>
      </c>
      <c r="F12" s="39">
        <f t="shared" si="3"/>
        <v>194</v>
      </c>
      <c r="G12" s="40" t="s">
        <v>55</v>
      </c>
      <c r="H12" s="41">
        <f t="shared" si="4"/>
        <v>970</v>
      </c>
      <c r="I12" s="41">
        <f t="shared" si="5"/>
        <v>970</v>
      </c>
      <c r="J12" s="41">
        <f t="shared" si="6"/>
        <v>776</v>
      </c>
      <c r="K12" s="41">
        <f t="shared" si="7"/>
        <v>776</v>
      </c>
      <c r="L12" s="50" t="s">
        <v>56</v>
      </c>
      <c r="O12" s="52" t="s">
        <v>57</v>
      </c>
      <c r="P12" s="67" t="s">
        <v>58</v>
      </c>
      <c r="Q12" s="68">
        <f>ROUNDUP(201*(1+(H1)/100),0)*G2</f>
        <v>402</v>
      </c>
      <c r="S12" s="60" t="s">
        <v>59</v>
      </c>
      <c r="T12" s="66"/>
      <c r="U12" s="66"/>
      <c r="V12" s="66"/>
      <c r="W12" s="55" t="s">
        <v>60</v>
      </c>
    </row>
    <row r="13">
      <c r="A13" s="36">
        <v>90.0</v>
      </c>
      <c r="B13" s="37" t="s">
        <v>25</v>
      </c>
      <c r="C13" s="37">
        <f t="shared" si="1"/>
        <v>100</v>
      </c>
      <c r="D13" s="37">
        <f t="shared" si="2"/>
        <v>142500</v>
      </c>
      <c r="E13" s="38">
        <f>ROUND((300*(1+($F1)/100))*$G2,0)</f>
        <v>660</v>
      </c>
      <c r="F13" s="39">
        <f t="shared" si="3"/>
        <v>216</v>
      </c>
      <c r="G13" s="40" t="s">
        <v>61</v>
      </c>
      <c r="H13" s="41">
        <f t="shared" si="4"/>
        <v>1080</v>
      </c>
      <c r="I13" s="41">
        <f t="shared" si="5"/>
        <v>1080</v>
      </c>
      <c r="J13" s="41">
        <f t="shared" si="6"/>
        <v>864</v>
      </c>
      <c r="K13" s="41">
        <f t="shared" si="7"/>
        <v>864</v>
      </c>
      <c r="L13" s="50" t="s">
        <v>62</v>
      </c>
      <c r="M13" s="69" t="s">
        <v>16</v>
      </c>
      <c r="N13" s="69" t="s">
        <v>63</v>
      </c>
      <c r="O13" s="70" t="s">
        <v>64</v>
      </c>
      <c r="P13" s="71" t="s">
        <v>65</v>
      </c>
      <c r="S13" s="60" t="s">
        <v>58</v>
      </c>
      <c r="T13" s="65"/>
      <c r="U13" s="65"/>
      <c r="V13" s="65"/>
      <c r="W13" s="68">
        <f>ROUNDUP(F998/Q12,0)</f>
        <v>296</v>
      </c>
    </row>
    <row r="14">
      <c r="A14" s="36">
        <v>100.0</v>
      </c>
      <c r="B14" s="37" t="s">
        <v>25</v>
      </c>
      <c r="C14" s="37">
        <f t="shared" si="1"/>
        <v>110</v>
      </c>
      <c r="D14" s="37">
        <f t="shared" si="2"/>
        <v>157500</v>
      </c>
      <c r="E14" s="38">
        <f>ROUND((300*(1+($F1)/100))*$G2,0)</f>
        <v>660</v>
      </c>
      <c r="F14" s="39">
        <f t="shared" si="3"/>
        <v>239</v>
      </c>
      <c r="G14" s="40" t="s">
        <v>66</v>
      </c>
      <c r="H14" s="41">
        <f t="shared" si="4"/>
        <v>1195</v>
      </c>
      <c r="I14" s="41">
        <f t="shared" si="5"/>
        <v>1195</v>
      </c>
      <c r="J14" s="41">
        <f t="shared" si="6"/>
        <v>956</v>
      </c>
      <c r="K14" s="41">
        <f t="shared" si="7"/>
        <v>956</v>
      </c>
      <c r="L14" s="72" t="s">
        <v>67</v>
      </c>
      <c r="M14" s="73">
        <f>(300*(1+(F1)/100))*G2</f>
        <v>660</v>
      </c>
      <c r="N14" s="73">
        <f>(200*(1+(F1)/100))*G2</f>
        <v>440</v>
      </c>
      <c r="O14" s="74" t="s">
        <v>68</v>
      </c>
      <c r="P14" s="75"/>
      <c r="Q14" s="20"/>
      <c r="S14" s="60" t="s">
        <v>69</v>
      </c>
      <c r="T14" s="68">
        <v>0.0</v>
      </c>
      <c r="U14" s="68">
        <v>0.0</v>
      </c>
      <c r="V14" s="76">
        <f>W13-T14-(U14*2)</f>
        <v>296</v>
      </c>
      <c r="W14" s="77" t="s">
        <v>70</v>
      </c>
    </row>
    <row r="15">
      <c r="A15" s="36">
        <v>110.0</v>
      </c>
      <c r="B15" s="37" t="s">
        <v>25</v>
      </c>
      <c r="C15" s="37">
        <f t="shared" si="1"/>
        <v>120</v>
      </c>
      <c r="D15" s="37">
        <f t="shared" si="2"/>
        <v>172500</v>
      </c>
      <c r="E15" s="38">
        <f>ROUND((300*(1+($F1)/100))*$G2,0)</f>
        <v>660</v>
      </c>
      <c r="F15" s="39">
        <f t="shared" si="3"/>
        <v>262</v>
      </c>
      <c r="G15" s="40" t="s">
        <v>71</v>
      </c>
      <c r="H15" s="41">
        <f t="shared" si="4"/>
        <v>1310</v>
      </c>
      <c r="I15" s="41">
        <f t="shared" si="5"/>
        <v>1310</v>
      </c>
      <c r="J15" s="41">
        <f t="shared" si="6"/>
        <v>1048</v>
      </c>
      <c r="K15" s="41">
        <f t="shared" si="7"/>
        <v>1048</v>
      </c>
      <c r="L15" s="69" t="s">
        <v>72</v>
      </c>
      <c r="M15" s="72" t="s">
        <v>19</v>
      </c>
      <c r="N15" s="72" t="s">
        <v>20</v>
      </c>
      <c r="O15" s="78" t="s">
        <v>73</v>
      </c>
      <c r="P15" s="78" t="s">
        <v>74</v>
      </c>
      <c r="Q15" s="76">
        <f>ROUNDUP(1001*(1+(H1)/100),0)*G2</f>
        <v>2002</v>
      </c>
      <c r="S15" s="60" t="s">
        <v>75</v>
      </c>
      <c r="T15" s="68">
        <v>0.0</v>
      </c>
      <c r="U15" s="68">
        <v>0.0</v>
      </c>
      <c r="V15" s="76">
        <f>W10-T15-(U15*4)</f>
        <v>588</v>
      </c>
      <c r="W15" s="79">
        <f>ROUNDUP(F998/Q16,0)</f>
        <v>148</v>
      </c>
    </row>
    <row r="16">
      <c r="A16" s="36">
        <v>120.0</v>
      </c>
      <c r="B16" s="37" t="s">
        <v>25</v>
      </c>
      <c r="C16" s="37">
        <f t="shared" si="1"/>
        <v>130</v>
      </c>
      <c r="D16" s="37">
        <f t="shared" si="2"/>
        <v>187500</v>
      </c>
      <c r="E16" s="38">
        <f>ROUND((300*(1+($F1)/100))*$G2,0)</f>
        <v>660</v>
      </c>
      <c r="F16" s="39">
        <f t="shared" si="3"/>
        <v>285</v>
      </c>
      <c r="G16" s="40" t="s">
        <v>76</v>
      </c>
      <c r="H16" s="41">
        <f t="shared" si="4"/>
        <v>1425</v>
      </c>
      <c r="I16" s="41">
        <f t="shared" si="5"/>
        <v>1425</v>
      </c>
      <c r="J16" s="41">
        <f t="shared" si="6"/>
        <v>1140</v>
      </c>
      <c r="K16" s="41">
        <f t="shared" si="7"/>
        <v>1140</v>
      </c>
      <c r="L16" s="80">
        <f>H999</f>
        <v>108</v>
      </c>
      <c r="M16" s="73">
        <f>(H999*5)</f>
        <v>540</v>
      </c>
      <c r="N16" s="73">
        <f>(H999*5)</f>
        <v>540</v>
      </c>
      <c r="O16" s="78" t="s">
        <v>75</v>
      </c>
      <c r="P16" s="78" t="s">
        <v>77</v>
      </c>
      <c r="Q16" s="76">
        <f>ROUNDUP(401*(1+(H1)/100),0)*G2</f>
        <v>802</v>
      </c>
      <c r="S16" s="64"/>
    </row>
    <row r="17">
      <c r="A17" s="36">
        <v>130.0</v>
      </c>
      <c r="B17" s="37" t="s">
        <v>25</v>
      </c>
      <c r="C17" s="37">
        <f t="shared" si="1"/>
        <v>140</v>
      </c>
      <c r="D17" s="37">
        <f t="shared" si="2"/>
        <v>202500</v>
      </c>
      <c r="E17" s="38">
        <f>ROUND((300*(1+(F1)/100))*G2,0)</f>
        <v>660</v>
      </c>
      <c r="F17" s="39">
        <f t="shared" si="3"/>
        <v>307</v>
      </c>
      <c r="G17" s="40" t="s">
        <v>78</v>
      </c>
      <c r="H17" s="41">
        <f t="shared" si="4"/>
        <v>1535</v>
      </c>
      <c r="I17" s="41">
        <f t="shared" si="5"/>
        <v>1535</v>
      </c>
      <c r="J17" s="41">
        <f t="shared" si="6"/>
        <v>1228</v>
      </c>
      <c r="K17" s="41">
        <f t="shared" si="7"/>
        <v>1228</v>
      </c>
      <c r="L17" s="72" t="s">
        <v>79</v>
      </c>
      <c r="M17" s="72" t="s">
        <v>19</v>
      </c>
      <c r="N17" s="72" t="s">
        <v>20</v>
      </c>
      <c r="O17" s="78" t="s">
        <v>69</v>
      </c>
      <c r="P17" s="78" t="s">
        <v>80</v>
      </c>
      <c r="Q17" s="76">
        <f>ROUNDUP(201*(1+(H1)/100),0)*G2</f>
        <v>402</v>
      </c>
      <c r="R17" s="81"/>
      <c r="S17" s="12"/>
      <c r="T17" s="12"/>
      <c r="U17" s="35"/>
    </row>
    <row r="18">
      <c r="A18" s="36">
        <v>140.0</v>
      </c>
      <c r="B18" s="37" t="s">
        <v>25</v>
      </c>
      <c r="C18" s="37">
        <f t="shared" si="1"/>
        <v>150</v>
      </c>
      <c r="D18" s="37">
        <f t="shared" si="2"/>
        <v>217500</v>
      </c>
      <c r="E18" s="38">
        <f>ROUND((300*(1+(F1)/100))*G2,0)</f>
        <v>660</v>
      </c>
      <c r="F18" s="39">
        <f t="shared" si="3"/>
        <v>330</v>
      </c>
      <c r="G18" s="40" t="s">
        <v>81</v>
      </c>
      <c r="H18" s="41">
        <f t="shared" si="4"/>
        <v>1650</v>
      </c>
      <c r="I18" s="41">
        <f t="shared" si="5"/>
        <v>1650</v>
      </c>
      <c r="J18" s="41">
        <f t="shared" si="6"/>
        <v>1320</v>
      </c>
      <c r="K18" s="41">
        <f t="shared" si="7"/>
        <v>1320</v>
      </c>
      <c r="L18" s="82">
        <f>H1000</f>
        <v>270</v>
      </c>
      <c r="M18" s="80">
        <f>L18*5</f>
        <v>1350</v>
      </c>
      <c r="N18" s="73">
        <f>L18*5</f>
        <v>1350</v>
      </c>
      <c r="O18" s="12"/>
      <c r="P18" s="12"/>
      <c r="Q18" s="12"/>
      <c r="R18" s="12"/>
      <c r="S18" s="12"/>
      <c r="T18" s="12"/>
      <c r="U18" s="12"/>
    </row>
    <row r="19">
      <c r="A19" s="36">
        <v>150.0</v>
      </c>
      <c r="B19" s="37" t="s">
        <v>25</v>
      </c>
      <c r="C19" s="37">
        <f t="shared" si="1"/>
        <v>160</v>
      </c>
      <c r="D19" s="37">
        <f t="shared" si="2"/>
        <v>232500</v>
      </c>
      <c r="E19" s="38">
        <f>ROUND((300*(1+(F1)/100))*G2,0)</f>
        <v>660</v>
      </c>
      <c r="F19" s="39">
        <f t="shared" si="3"/>
        <v>353</v>
      </c>
      <c r="G19" s="40" t="s">
        <v>82</v>
      </c>
      <c r="H19" s="41">
        <f t="shared" si="4"/>
        <v>1765</v>
      </c>
      <c r="I19" s="41">
        <f t="shared" si="5"/>
        <v>1765</v>
      </c>
      <c r="J19" s="41">
        <f t="shared" si="6"/>
        <v>1412</v>
      </c>
      <c r="K19" s="41">
        <f t="shared" si="7"/>
        <v>1412</v>
      </c>
      <c r="S19" s="31" t="s">
        <v>7</v>
      </c>
    </row>
    <row r="20">
      <c r="A20" s="83" t="s">
        <v>83</v>
      </c>
      <c r="B20" s="84" t="s">
        <v>84</v>
      </c>
      <c r="C20" s="2"/>
      <c r="D20" s="85" t="s">
        <v>85</v>
      </c>
      <c r="E20" s="85" t="s">
        <v>86</v>
      </c>
      <c r="F20" s="85" t="s">
        <v>87</v>
      </c>
      <c r="G20" s="85" t="s">
        <v>88</v>
      </c>
      <c r="H20" s="86" t="s">
        <v>89</v>
      </c>
      <c r="I20" s="86" t="s">
        <v>90</v>
      </c>
      <c r="J20" s="31" t="s">
        <v>91</v>
      </c>
      <c r="K20" s="31" t="s">
        <v>92</v>
      </c>
      <c r="L20" s="31" t="s">
        <v>75</v>
      </c>
      <c r="M20" s="31" t="s">
        <v>75</v>
      </c>
      <c r="N20" s="31" t="s">
        <v>75</v>
      </c>
      <c r="O20" s="31" t="s">
        <v>75</v>
      </c>
      <c r="P20" s="31" t="s">
        <v>7</v>
      </c>
      <c r="Q20" s="31" t="s">
        <v>7</v>
      </c>
      <c r="R20" s="31" t="s">
        <v>7</v>
      </c>
      <c r="S20" s="83" t="s">
        <v>83</v>
      </c>
      <c r="T20" s="84" t="s">
        <v>84</v>
      </c>
      <c r="U20" s="2"/>
      <c r="V20" s="85" t="s">
        <v>85</v>
      </c>
      <c r="W20" s="85" t="s">
        <v>86</v>
      </c>
      <c r="X20" s="85" t="s">
        <v>93</v>
      </c>
      <c r="Y20" s="87" t="s">
        <v>94</v>
      </c>
      <c r="Z20" s="75"/>
      <c r="AA20" s="20"/>
    </row>
    <row r="21">
      <c r="A21" s="88" t="s">
        <v>95</v>
      </c>
      <c r="B21" s="89">
        <f>I4*2</f>
        <v>120</v>
      </c>
      <c r="C21" s="9"/>
      <c r="D21" s="90"/>
      <c r="E21" s="91">
        <f>(B21/2)-D21</f>
        <v>60</v>
      </c>
      <c r="F21" s="88" t="s">
        <v>26</v>
      </c>
      <c r="G21" s="92" t="s">
        <v>96</v>
      </c>
      <c r="H21" s="92" t="s">
        <v>97</v>
      </c>
      <c r="I21" s="92" t="s">
        <v>98</v>
      </c>
      <c r="J21" s="92" t="s">
        <v>99</v>
      </c>
      <c r="K21" s="92" t="s">
        <v>100</v>
      </c>
      <c r="L21" s="92" t="s">
        <v>101</v>
      </c>
      <c r="M21" s="92" t="s">
        <v>102</v>
      </c>
      <c r="N21" s="91" t="s">
        <v>103</v>
      </c>
      <c r="O21" s="93" t="s">
        <v>103</v>
      </c>
      <c r="P21" s="93" t="s">
        <v>103</v>
      </c>
      <c r="Q21" s="91" t="s">
        <v>103</v>
      </c>
      <c r="R21" s="91" t="s">
        <v>103</v>
      </c>
      <c r="S21" s="94" t="s">
        <v>95</v>
      </c>
      <c r="T21" s="95">
        <f>F4*4*2</f>
        <v>96</v>
      </c>
      <c r="U21" s="9"/>
      <c r="V21" s="96"/>
      <c r="W21" s="97">
        <f>(T21/2)-V21</f>
        <v>48</v>
      </c>
      <c r="X21" s="98" t="s">
        <v>19</v>
      </c>
      <c r="Y21" s="99" t="s">
        <v>104</v>
      </c>
      <c r="Z21" s="99" t="s">
        <v>105</v>
      </c>
      <c r="AA21" s="99" t="s">
        <v>106</v>
      </c>
    </row>
    <row r="22">
      <c r="A22" s="65"/>
      <c r="B22" s="13"/>
      <c r="C22" s="16"/>
      <c r="D22" s="100"/>
      <c r="E22" s="91">
        <f>(B21/2)-D22</f>
        <v>60</v>
      </c>
      <c r="F22" s="65"/>
      <c r="G22" s="101" t="s">
        <v>107</v>
      </c>
      <c r="H22" s="101" t="s">
        <v>108</v>
      </c>
      <c r="I22" s="101" t="s">
        <v>109</v>
      </c>
      <c r="J22" s="101" t="s">
        <v>110</v>
      </c>
      <c r="K22" s="101" t="s">
        <v>111</v>
      </c>
      <c r="L22" s="101" t="s">
        <v>112</v>
      </c>
      <c r="M22" s="101" t="s">
        <v>113</v>
      </c>
      <c r="N22" s="102" t="s">
        <v>103</v>
      </c>
      <c r="O22" s="103" t="s">
        <v>103</v>
      </c>
      <c r="P22" s="103" t="s">
        <v>103</v>
      </c>
      <c r="Q22" s="102" t="s">
        <v>103</v>
      </c>
      <c r="R22" s="102" t="s">
        <v>103</v>
      </c>
      <c r="S22" s="65"/>
      <c r="T22" s="13"/>
      <c r="U22" s="16"/>
      <c r="V22" s="104"/>
      <c r="W22" s="97">
        <f>(T21/2)-V21</f>
        <v>48</v>
      </c>
      <c r="X22" s="98" t="s">
        <v>20</v>
      </c>
      <c r="Y22" s="105">
        <v>0.1</v>
      </c>
      <c r="Z22" s="106" t="s">
        <v>114</v>
      </c>
      <c r="AA22" s="106" t="s">
        <v>115</v>
      </c>
    </row>
    <row r="23">
      <c r="A23" s="107" t="s">
        <v>116</v>
      </c>
      <c r="B23" s="108">
        <f>I5*2</f>
        <v>350</v>
      </c>
      <c r="C23" s="2"/>
      <c r="D23" s="109"/>
      <c r="E23" s="110">
        <f>(B23/2)-D23</f>
        <v>175</v>
      </c>
      <c r="F23" s="107" t="s">
        <v>27</v>
      </c>
      <c r="G23" s="111" t="s">
        <v>117</v>
      </c>
      <c r="H23" s="111" t="s">
        <v>118</v>
      </c>
      <c r="I23" s="111" t="s">
        <v>119</v>
      </c>
      <c r="J23" s="111" t="s">
        <v>120</v>
      </c>
      <c r="K23" s="111" t="s">
        <v>121</v>
      </c>
      <c r="L23" s="111" t="s">
        <v>122</v>
      </c>
      <c r="M23" s="111" t="s">
        <v>123</v>
      </c>
      <c r="N23" s="110" t="s">
        <v>103</v>
      </c>
      <c r="O23" s="112" t="s">
        <v>103</v>
      </c>
      <c r="P23" s="113" t="s">
        <v>124</v>
      </c>
      <c r="Q23" s="110" t="s">
        <v>103</v>
      </c>
      <c r="R23" s="110" t="s">
        <v>103</v>
      </c>
      <c r="S23" s="114" t="s">
        <v>116</v>
      </c>
      <c r="T23" s="95">
        <f>F5*4*2</f>
        <v>280</v>
      </c>
      <c r="U23" s="9"/>
      <c r="V23" s="115"/>
      <c r="W23" s="116">
        <f>(T23/2)-V23</f>
        <v>140</v>
      </c>
      <c r="X23" s="98" t="s">
        <v>19</v>
      </c>
      <c r="Y23" s="105">
        <v>0.2</v>
      </c>
      <c r="Z23" s="106" t="s">
        <v>114</v>
      </c>
      <c r="AA23" s="106" t="s">
        <v>115</v>
      </c>
    </row>
    <row r="24">
      <c r="A24" s="65"/>
      <c r="B24" s="13"/>
      <c r="C24" s="14"/>
      <c r="D24" s="109"/>
      <c r="E24" s="110">
        <f>(B23/2)-D24</f>
        <v>175</v>
      </c>
      <c r="F24" s="65"/>
      <c r="G24" s="111" t="s">
        <v>125</v>
      </c>
      <c r="H24" s="111" t="s">
        <v>126</v>
      </c>
      <c r="I24" s="111" t="s">
        <v>127</v>
      </c>
      <c r="J24" s="111" t="s">
        <v>128</v>
      </c>
      <c r="K24" s="111" t="s">
        <v>129</v>
      </c>
      <c r="L24" s="111" t="s">
        <v>130</v>
      </c>
      <c r="M24" s="111" t="s">
        <v>131</v>
      </c>
      <c r="N24" s="110" t="s">
        <v>103</v>
      </c>
      <c r="O24" s="112" t="s">
        <v>103</v>
      </c>
      <c r="P24" s="113" t="s">
        <v>132</v>
      </c>
      <c r="Q24" s="110" t="s">
        <v>103</v>
      </c>
      <c r="R24" s="110" t="s">
        <v>103</v>
      </c>
      <c r="S24" s="65"/>
      <c r="T24" s="13"/>
      <c r="U24" s="16"/>
      <c r="V24" s="115"/>
      <c r="W24" s="116">
        <f>(T23/2)-V24</f>
        <v>140</v>
      </c>
      <c r="X24" s="98" t="s">
        <v>20</v>
      </c>
      <c r="Y24" s="105">
        <v>0.25</v>
      </c>
      <c r="Z24" s="106" t="s">
        <v>114</v>
      </c>
      <c r="AA24" s="106" t="s">
        <v>115</v>
      </c>
    </row>
    <row r="25">
      <c r="A25" s="117" t="s">
        <v>133</v>
      </c>
      <c r="B25" s="89">
        <f>I6*2</f>
        <v>570</v>
      </c>
      <c r="C25" s="2"/>
      <c r="D25" s="118"/>
      <c r="E25" s="91">
        <f>(B25/2)-D25</f>
        <v>285</v>
      </c>
      <c r="F25" s="117" t="s">
        <v>29</v>
      </c>
      <c r="G25" s="101" t="s">
        <v>134</v>
      </c>
      <c r="H25" s="101" t="s">
        <v>135</v>
      </c>
      <c r="I25" s="101" t="s">
        <v>136</v>
      </c>
      <c r="J25" s="101" t="s">
        <v>137</v>
      </c>
      <c r="K25" s="101" t="s">
        <v>138</v>
      </c>
      <c r="L25" s="101" t="s">
        <v>139</v>
      </c>
      <c r="M25" s="101" t="s">
        <v>140</v>
      </c>
      <c r="N25" s="119" t="s">
        <v>141</v>
      </c>
      <c r="O25" s="93" t="s">
        <v>103</v>
      </c>
      <c r="P25" s="120" t="s">
        <v>142</v>
      </c>
      <c r="Q25" s="119" t="s">
        <v>143</v>
      </c>
      <c r="R25" s="102" t="s">
        <v>103</v>
      </c>
      <c r="S25" s="114" t="s">
        <v>133</v>
      </c>
      <c r="T25" s="95">
        <f>F6*4*2</f>
        <v>456</v>
      </c>
      <c r="U25" s="9"/>
      <c r="V25" s="115"/>
      <c r="W25" s="116">
        <f>(T25/2)-V25</f>
        <v>228</v>
      </c>
      <c r="X25" s="98" t="s">
        <v>19</v>
      </c>
      <c r="Y25" s="105">
        <v>0.3</v>
      </c>
      <c r="Z25" s="106" t="s">
        <v>114</v>
      </c>
      <c r="AA25" s="106" t="s">
        <v>115</v>
      </c>
    </row>
    <row r="26">
      <c r="A26" s="65"/>
      <c r="B26" s="13"/>
      <c r="C26" s="14"/>
      <c r="D26" s="118"/>
      <c r="E26" s="91">
        <f>(B25/2)-D26</f>
        <v>285</v>
      </c>
      <c r="F26" s="65"/>
      <c r="G26" s="101" t="s">
        <v>144</v>
      </c>
      <c r="H26" s="101" t="s">
        <v>145</v>
      </c>
      <c r="I26" s="101" t="s">
        <v>146</v>
      </c>
      <c r="J26" s="101" t="s">
        <v>147</v>
      </c>
      <c r="K26" s="101" t="s">
        <v>148</v>
      </c>
      <c r="L26" s="101" t="s">
        <v>149</v>
      </c>
      <c r="M26" s="101" t="s">
        <v>150</v>
      </c>
      <c r="N26" s="119" t="s">
        <v>151</v>
      </c>
      <c r="O26" s="93" t="s">
        <v>103</v>
      </c>
      <c r="P26" s="120" t="s">
        <v>152</v>
      </c>
      <c r="Q26" s="119" t="s">
        <v>153</v>
      </c>
      <c r="R26" s="102" t="s">
        <v>103</v>
      </c>
      <c r="S26" s="65"/>
      <c r="T26" s="13"/>
      <c r="U26" s="16"/>
      <c r="V26" s="115"/>
      <c r="W26" s="116">
        <f>(T25/2)-V26</f>
        <v>228</v>
      </c>
      <c r="X26" s="98" t="s">
        <v>20</v>
      </c>
      <c r="Y26" s="105">
        <v>0.35</v>
      </c>
      <c r="Z26" s="106" t="s">
        <v>114</v>
      </c>
      <c r="AA26" s="106" t="s">
        <v>154</v>
      </c>
    </row>
    <row r="27">
      <c r="A27" s="107" t="s">
        <v>155</v>
      </c>
      <c r="B27" s="108">
        <f>I7*2</f>
        <v>800</v>
      </c>
      <c r="C27" s="2"/>
      <c r="D27" s="109"/>
      <c r="E27" s="110">
        <f>(B27/2)-D27</f>
        <v>400</v>
      </c>
      <c r="F27" s="107" t="s">
        <v>156</v>
      </c>
      <c r="G27" s="111" t="s">
        <v>157</v>
      </c>
      <c r="H27" s="111" t="s">
        <v>158</v>
      </c>
      <c r="I27" s="111" t="s">
        <v>159</v>
      </c>
      <c r="J27" s="111" t="s">
        <v>160</v>
      </c>
      <c r="K27" s="111" t="s">
        <v>161</v>
      </c>
      <c r="L27" s="111" t="s">
        <v>162</v>
      </c>
      <c r="M27" s="111" t="s">
        <v>163</v>
      </c>
      <c r="N27" s="121" t="s">
        <v>164</v>
      </c>
      <c r="O27" s="113" t="s">
        <v>165</v>
      </c>
      <c r="P27" s="113" t="s">
        <v>166</v>
      </c>
      <c r="Q27" s="121" t="s">
        <v>167</v>
      </c>
      <c r="R27" s="110" t="s">
        <v>103</v>
      </c>
      <c r="S27" s="114" t="s">
        <v>155</v>
      </c>
      <c r="T27" s="95">
        <f>F7*4*2</f>
        <v>640</v>
      </c>
      <c r="U27" s="9"/>
      <c r="V27" s="115"/>
      <c r="W27" s="116">
        <f>(T27/2)-V27</f>
        <v>320</v>
      </c>
      <c r="X27" s="98" t="s">
        <v>19</v>
      </c>
      <c r="Y27" s="105">
        <v>0.4</v>
      </c>
      <c r="Z27" s="106" t="s">
        <v>114</v>
      </c>
      <c r="AA27" s="106" t="s">
        <v>154</v>
      </c>
    </row>
    <row r="28">
      <c r="A28" s="65"/>
      <c r="B28" s="13"/>
      <c r="C28" s="14"/>
      <c r="D28" s="109"/>
      <c r="E28" s="110">
        <f>(B27/2)-D28</f>
        <v>400</v>
      </c>
      <c r="F28" s="65"/>
      <c r="G28" s="111" t="s">
        <v>168</v>
      </c>
      <c r="H28" s="111" t="s">
        <v>169</v>
      </c>
      <c r="I28" s="111" t="s">
        <v>170</v>
      </c>
      <c r="J28" s="111" t="s">
        <v>171</v>
      </c>
      <c r="K28" s="111" t="s">
        <v>172</v>
      </c>
      <c r="L28" s="111" t="s">
        <v>173</v>
      </c>
      <c r="M28" s="111" t="s">
        <v>165</v>
      </c>
      <c r="N28" s="121" t="s">
        <v>174</v>
      </c>
      <c r="O28" s="122" t="s">
        <v>103</v>
      </c>
      <c r="P28" s="113" t="s">
        <v>175</v>
      </c>
      <c r="Q28" s="121" t="s">
        <v>176</v>
      </c>
      <c r="R28" s="110" t="s">
        <v>103</v>
      </c>
      <c r="S28" s="65"/>
      <c r="T28" s="13"/>
      <c r="U28" s="16"/>
      <c r="V28" s="115"/>
      <c r="W28" s="116">
        <f>(T27/2)-V27</f>
        <v>320</v>
      </c>
      <c r="X28" s="98" t="s">
        <v>20</v>
      </c>
      <c r="Y28" s="105">
        <v>0.45</v>
      </c>
      <c r="Z28" s="106" t="s">
        <v>114</v>
      </c>
      <c r="AA28" s="106" t="s">
        <v>154</v>
      </c>
    </row>
    <row r="29">
      <c r="A29" s="117" t="s">
        <v>177</v>
      </c>
      <c r="B29" s="89">
        <f>I8*2</f>
        <v>1030</v>
      </c>
      <c r="C29" s="9"/>
      <c r="D29" s="118"/>
      <c r="E29" s="91">
        <f>(B29/2)-D29</f>
        <v>515</v>
      </c>
      <c r="F29" s="117" t="s">
        <v>178</v>
      </c>
      <c r="G29" s="101" t="s">
        <v>179</v>
      </c>
      <c r="H29" s="101" t="s">
        <v>180</v>
      </c>
      <c r="I29" s="101" t="s">
        <v>181</v>
      </c>
      <c r="J29" s="101" t="s">
        <v>182</v>
      </c>
      <c r="K29" s="101" t="s">
        <v>183</v>
      </c>
      <c r="L29" s="101" t="s">
        <v>184</v>
      </c>
      <c r="M29" s="101" t="s">
        <v>185</v>
      </c>
      <c r="N29" s="102" t="s">
        <v>103</v>
      </c>
      <c r="O29" s="93" t="s">
        <v>103</v>
      </c>
      <c r="P29" s="120" t="s">
        <v>186</v>
      </c>
      <c r="Q29" s="119" t="s">
        <v>187</v>
      </c>
      <c r="R29" s="102" t="s">
        <v>103</v>
      </c>
      <c r="S29" s="114" t="s">
        <v>177</v>
      </c>
      <c r="T29" s="95">
        <f>F8*4*2</f>
        <v>824</v>
      </c>
      <c r="U29" s="9"/>
      <c r="V29" s="115"/>
      <c r="W29" s="116">
        <f>(T29/2)-V29</f>
        <v>412</v>
      </c>
      <c r="X29" s="98" t="s">
        <v>19</v>
      </c>
      <c r="Y29" s="105">
        <v>0.5</v>
      </c>
      <c r="Z29" s="106" t="s">
        <v>114</v>
      </c>
      <c r="AA29" s="106" t="s">
        <v>154</v>
      </c>
    </row>
    <row r="30">
      <c r="A30" s="65"/>
      <c r="B30" s="13"/>
      <c r="C30" s="16"/>
      <c r="D30" s="118"/>
      <c r="E30" s="91">
        <f>(B29/2)-D30</f>
        <v>515</v>
      </c>
      <c r="F30" s="65"/>
      <c r="G30" s="101" t="s">
        <v>188</v>
      </c>
      <c r="H30" s="101" t="s">
        <v>189</v>
      </c>
      <c r="I30" s="101" t="s">
        <v>190</v>
      </c>
      <c r="J30" s="101" t="s">
        <v>191</v>
      </c>
      <c r="K30" s="101" t="s">
        <v>192</v>
      </c>
      <c r="L30" s="101" t="s">
        <v>193</v>
      </c>
      <c r="M30" s="101" t="s">
        <v>194</v>
      </c>
      <c r="N30" s="102" t="s">
        <v>103</v>
      </c>
      <c r="O30" s="103" t="s">
        <v>103</v>
      </c>
      <c r="P30" s="120" t="s">
        <v>195</v>
      </c>
      <c r="Q30" s="119" t="s">
        <v>196</v>
      </c>
      <c r="R30" s="102" t="s">
        <v>103</v>
      </c>
      <c r="S30" s="65"/>
      <c r="T30" s="13"/>
      <c r="U30" s="16"/>
      <c r="V30" s="115"/>
      <c r="W30" s="116">
        <f>(T29/2)-V29</f>
        <v>412</v>
      </c>
      <c r="X30" s="98" t="s">
        <v>20</v>
      </c>
      <c r="Y30" s="105">
        <v>0.55</v>
      </c>
      <c r="Z30" s="106" t="s">
        <v>197</v>
      </c>
      <c r="AA30" s="106" t="s">
        <v>198</v>
      </c>
    </row>
    <row r="31">
      <c r="A31" s="107" t="s">
        <v>199</v>
      </c>
      <c r="B31" s="108">
        <f>I9*2</f>
        <v>1250</v>
      </c>
      <c r="C31" s="2"/>
      <c r="D31" s="109"/>
      <c r="E31" s="110">
        <f>(B31/2)-D31</f>
        <v>625</v>
      </c>
      <c r="F31" s="107" t="s">
        <v>39</v>
      </c>
      <c r="G31" s="111" t="s">
        <v>200</v>
      </c>
      <c r="H31" s="111" t="s">
        <v>201</v>
      </c>
      <c r="I31" s="111" t="s">
        <v>202</v>
      </c>
      <c r="J31" s="111" t="s">
        <v>203</v>
      </c>
      <c r="K31" s="111" t="s">
        <v>204</v>
      </c>
      <c r="L31" s="111" t="s">
        <v>205</v>
      </c>
      <c r="M31" s="111" t="s">
        <v>206</v>
      </c>
      <c r="N31" s="110" t="s">
        <v>103</v>
      </c>
      <c r="O31" s="112" t="s">
        <v>103</v>
      </c>
      <c r="P31" s="113" t="s">
        <v>207</v>
      </c>
      <c r="Q31" s="121" t="s">
        <v>208</v>
      </c>
      <c r="R31" s="121" t="s">
        <v>209</v>
      </c>
      <c r="S31" s="114" t="s">
        <v>199</v>
      </c>
      <c r="T31" s="95">
        <f>F9*4*2</f>
        <v>1000</v>
      </c>
      <c r="U31" s="9"/>
      <c r="V31" s="115"/>
      <c r="W31" s="116">
        <f>(T31/2)-V31</f>
        <v>500</v>
      </c>
      <c r="X31" s="98" t="s">
        <v>19</v>
      </c>
      <c r="Y31" s="105">
        <v>0.6</v>
      </c>
      <c r="Z31" s="106" t="s">
        <v>197</v>
      </c>
      <c r="AA31" s="106" t="s">
        <v>198</v>
      </c>
    </row>
    <row r="32">
      <c r="A32" s="65"/>
      <c r="B32" s="13"/>
      <c r="C32" s="14"/>
      <c r="D32" s="109"/>
      <c r="E32" s="110">
        <f>(B31/2)-D32</f>
        <v>625</v>
      </c>
      <c r="F32" s="65"/>
      <c r="G32" s="111" t="s">
        <v>210</v>
      </c>
      <c r="H32" s="111" t="s">
        <v>211</v>
      </c>
      <c r="I32" s="111" t="s">
        <v>212</v>
      </c>
      <c r="J32" s="111" t="s">
        <v>213</v>
      </c>
      <c r="K32" s="111" t="s">
        <v>214</v>
      </c>
      <c r="L32" s="111" t="s">
        <v>215</v>
      </c>
      <c r="M32" s="111" t="s">
        <v>216</v>
      </c>
      <c r="N32" s="110" t="s">
        <v>103</v>
      </c>
      <c r="O32" s="112" t="s">
        <v>103</v>
      </c>
      <c r="P32" s="113" t="s">
        <v>217</v>
      </c>
      <c r="Q32" s="121" t="s">
        <v>218</v>
      </c>
      <c r="R32" s="121" t="s">
        <v>219</v>
      </c>
      <c r="S32" s="65"/>
      <c r="T32" s="13"/>
      <c r="U32" s="16"/>
      <c r="V32" s="115"/>
      <c r="W32" s="116">
        <f>(T31/2)-V31</f>
        <v>500</v>
      </c>
      <c r="X32" s="98" t="s">
        <v>20</v>
      </c>
      <c r="Y32" s="105">
        <v>0.65</v>
      </c>
      <c r="Z32" s="106" t="s">
        <v>197</v>
      </c>
      <c r="AA32" s="106" t="s">
        <v>198</v>
      </c>
    </row>
    <row r="33">
      <c r="A33" s="117" t="s">
        <v>220</v>
      </c>
      <c r="B33" s="89">
        <f>I10*2</f>
        <v>1480</v>
      </c>
      <c r="C33" s="9"/>
      <c r="D33" s="118"/>
      <c r="E33" s="91">
        <f>(B33/2)-D33</f>
        <v>740</v>
      </c>
      <c r="F33" s="117" t="s">
        <v>221</v>
      </c>
      <c r="G33" s="101" t="s">
        <v>222</v>
      </c>
      <c r="H33" s="101" t="s">
        <v>223</v>
      </c>
      <c r="I33" s="101" t="s">
        <v>224</v>
      </c>
      <c r="J33" s="101" t="s">
        <v>225</v>
      </c>
      <c r="K33" s="101" t="s">
        <v>226</v>
      </c>
      <c r="L33" s="101" t="s">
        <v>227</v>
      </c>
      <c r="M33" s="101" t="s">
        <v>228</v>
      </c>
      <c r="N33" s="102" t="s">
        <v>103</v>
      </c>
      <c r="O33" s="103" t="s">
        <v>103</v>
      </c>
      <c r="P33" s="120" t="s">
        <v>229</v>
      </c>
      <c r="Q33" s="123" t="s">
        <v>230</v>
      </c>
      <c r="R33" s="2"/>
      <c r="S33" s="114" t="s">
        <v>220</v>
      </c>
      <c r="T33" s="95">
        <f>F10*4*2</f>
        <v>1184</v>
      </c>
      <c r="U33" s="9"/>
      <c r="V33" s="115"/>
      <c r="W33" s="116">
        <f>(T33/2)-V33</f>
        <v>592</v>
      </c>
      <c r="X33" s="98" t="s">
        <v>19</v>
      </c>
      <c r="Y33" s="105">
        <v>0.7</v>
      </c>
      <c r="Z33" s="106" t="s">
        <v>197</v>
      </c>
      <c r="AA33" s="106" t="s">
        <v>198</v>
      </c>
    </row>
    <row r="34">
      <c r="A34" s="65"/>
      <c r="B34" s="13"/>
      <c r="C34" s="16"/>
      <c r="D34" s="118"/>
      <c r="E34" s="91">
        <f>(B33/2)-D34</f>
        <v>740</v>
      </c>
      <c r="F34" s="65"/>
      <c r="G34" s="101" t="s">
        <v>231</v>
      </c>
      <c r="H34" s="101" t="s">
        <v>232</v>
      </c>
      <c r="I34" s="101" t="s">
        <v>233</v>
      </c>
      <c r="J34" s="101" t="s">
        <v>234</v>
      </c>
      <c r="K34" s="101" t="s">
        <v>235</v>
      </c>
      <c r="L34" s="101" t="s">
        <v>236</v>
      </c>
      <c r="M34" s="101" t="s">
        <v>237</v>
      </c>
      <c r="N34" s="102" t="s">
        <v>103</v>
      </c>
      <c r="O34" s="103" t="s">
        <v>103</v>
      </c>
      <c r="P34" s="120" t="s">
        <v>238</v>
      </c>
      <c r="Q34" s="13"/>
      <c r="R34" s="14"/>
      <c r="S34" s="65"/>
      <c r="T34" s="13"/>
      <c r="U34" s="16"/>
      <c r="V34" s="115"/>
      <c r="W34" s="116">
        <f>(T33/2)-V33</f>
        <v>592</v>
      </c>
      <c r="X34" s="98" t="s">
        <v>20</v>
      </c>
      <c r="Y34" s="105">
        <v>0.75</v>
      </c>
      <c r="Z34" s="106" t="s">
        <v>197</v>
      </c>
      <c r="AA34" s="106" t="s">
        <v>198</v>
      </c>
    </row>
    <row r="35">
      <c r="A35" s="107" t="s">
        <v>239</v>
      </c>
      <c r="B35" s="108">
        <f>I11*2</f>
        <v>1710</v>
      </c>
      <c r="C35" s="2"/>
      <c r="D35" s="109"/>
      <c r="E35" s="110">
        <f>(B35/2)-D35</f>
        <v>855</v>
      </c>
      <c r="F35" s="107" t="s">
        <v>52</v>
      </c>
      <c r="G35" s="111" t="s">
        <v>240</v>
      </c>
      <c r="H35" s="111" t="s">
        <v>241</v>
      </c>
      <c r="I35" s="111" t="s">
        <v>242</v>
      </c>
      <c r="J35" s="111" t="s">
        <v>243</v>
      </c>
      <c r="K35" s="111" t="s">
        <v>244</v>
      </c>
      <c r="L35" s="111" t="s">
        <v>245</v>
      </c>
      <c r="M35" s="111" t="s">
        <v>246</v>
      </c>
      <c r="N35" s="110" t="s">
        <v>103</v>
      </c>
      <c r="O35" s="112" t="s">
        <v>103</v>
      </c>
      <c r="P35" s="113" t="s">
        <v>247</v>
      </c>
      <c r="Q35" s="110" t="s">
        <v>103</v>
      </c>
      <c r="R35" s="110" t="s">
        <v>103</v>
      </c>
      <c r="S35" s="114" t="s">
        <v>239</v>
      </c>
      <c r="T35" s="95">
        <f>F11*4*2</f>
        <v>1368</v>
      </c>
      <c r="U35" s="9"/>
      <c r="V35" s="115"/>
      <c r="W35" s="97">
        <f>(T35/2)-V35</f>
        <v>684</v>
      </c>
      <c r="X35" s="98" t="s">
        <v>19</v>
      </c>
      <c r="Y35" s="105">
        <v>0.8</v>
      </c>
      <c r="Z35" s="106" t="s">
        <v>197</v>
      </c>
      <c r="AA35" s="106" t="s">
        <v>198</v>
      </c>
    </row>
    <row r="36">
      <c r="A36" s="65"/>
      <c r="B36" s="13"/>
      <c r="C36" s="14"/>
      <c r="D36" s="109"/>
      <c r="E36" s="110">
        <f>(B35/2)-D36</f>
        <v>855</v>
      </c>
      <c r="F36" s="65"/>
      <c r="G36" s="111" t="s">
        <v>248</v>
      </c>
      <c r="H36" s="111" t="s">
        <v>249</v>
      </c>
      <c r="I36" s="111" t="s">
        <v>250</v>
      </c>
      <c r="J36" s="111" t="s">
        <v>251</v>
      </c>
      <c r="K36" s="111" t="s">
        <v>252</v>
      </c>
      <c r="L36" s="111" t="s">
        <v>253</v>
      </c>
      <c r="M36" s="111" t="s">
        <v>254</v>
      </c>
      <c r="N36" s="110" t="s">
        <v>103</v>
      </c>
      <c r="O36" s="112" t="s">
        <v>103</v>
      </c>
      <c r="P36" s="113" t="s">
        <v>255</v>
      </c>
      <c r="Q36" s="110" t="s">
        <v>103</v>
      </c>
      <c r="R36" s="110" t="s">
        <v>103</v>
      </c>
      <c r="S36" s="65"/>
      <c r="T36" s="13"/>
      <c r="U36" s="16"/>
      <c r="V36" s="115"/>
      <c r="W36" s="97">
        <f>(T35/2)-V35</f>
        <v>684</v>
      </c>
      <c r="X36" s="98" t="s">
        <v>20</v>
      </c>
      <c r="Y36" s="105">
        <v>0.85</v>
      </c>
      <c r="Z36" s="106" t="s">
        <v>197</v>
      </c>
      <c r="AA36" s="106" t="s">
        <v>198</v>
      </c>
    </row>
    <row r="37">
      <c r="A37" s="117" t="s">
        <v>256</v>
      </c>
      <c r="B37" s="89">
        <f>I12*2</f>
        <v>1940</v>
      </c>
      <c r="C37" s="9"/>
      <c r="D37" s="118"/>
      <c r="E37" s="91">
        <f>(B37/2)-D37</f>
        <v>970</v>
      </c>
      <c r="F37" s="117" t="s">
        <v>55</v>
      </c>
      <c r="G37" s="101" t="s">
        <v>257</v>
      </c>
      <c r="H37" s="101" t="s">
        <v>258</v>
      </c>
      <c r="I37" s="101" t="s">
        <v>259</v>
      </c>
      <c r="J37" s="101" t="s">
        <v>260</v>
      </c>
      <c r="K37" s="101" t="s">
        <v>261</v>
      </c>
      <c r="L37" s="101" t="s">
        <v>262</v>
      </c>
      <c r="M37" s="101" t="s">
        <v>263</v>
      </c>
      <c r="N37" s="102" t="s">
        <v>103</v>
      </c>
      <c r="O37" s="103" t="s">
        <v>103</v>
      </c>
      <c r="P37" s="120" t="s">
        <v>264</v>
      </c>
      <c r="Q37" s="119" t="s">
        <v>265</v>
      </c>
      <c r="R37" s="102" t="s">
        <v>103</v>
      </c>
      <c r="S37" s="114" t="s">
        <v>256</v>
      </c>
      <c r="T37" s="95">
        <f>F12*4*2</f>
        <v>1552</v>
      </c>
      <c r="U37" s="9"/>
      <c r="V37" s="115"/>
      <c r="W37" s="116">
        <f>(T37/2)-V37</f>
        <v>776</v>
      </c>
      <c r="X37" s="98" t="s">
        <v>19</v>
      </c>
      <c r="Y37" s="105">
        <v>0.9</v>
      </c>
      <c r="Z37" s="106" t="s">
        <v>197</v>
      </c>
      <c r="AA37" s="106" t="s">
        <v>198</v>
      </c>
    </row>
    <row r="38">
      <c r="A38" s="65"/>
      <c r="B38" s="13"/>
      <c r="C38" s="16"/>
      <c r="D38" s="118"/>
      <c r="E38" s="91">
        <f>(B37/2)-D38</f>
        <v>970</v>
      </c>
      <c r="F38" s="65"/>
      <c r="G38" s="101" t="s">
        <v>266</v>
      </c>
      <c r="H38" s="101" t="s">
        <v>267</v>
      </c>
      <c r="I38" s="101" t="s">
        <v>268</v>
      </c>
      <c r="J38" s="101" t="s">
        <v>269</v>
      </c>
      <c r="K38" s="101" t="s">
        <v>270</v>
      </c>
      <c r="L38" s="101" t="s">
        <v>271</v>
      </c>
      <c r="M38" s="101" t="s">
        <v>272</v>
      </c>
      <c r="N38" s="102" t="s">
        <v>103</v>
      </c>
      <c r="O38" s="103" t="s">
        <v>103</v>
      </c>
      <c r="P38" s="120" t="s">
        <v>273</v>
      </c>
      <c r="Q38" s="119" t="s">
        <v>265</v>
      </c>
      <c r="R38" s="102" t="s">
        <v>103</v>
      </c>
      <c r="S38" s="65"/>
      <c r="T38" s="13"/>
      <c r="U38" s="16"/>
      <c r="V38" s="115"/>
      <c r="W38" s="116">
        <f>(T37/2)-V38</f>
        <v>776</v>
      </c>
      <c r="X38" s="98" t="s">
        <v>20</v>
      </c>
      <c r="Y38" s="105">
        <v>0.95</v>
      </c>
      <c r="Z38" s="106" t="s">
        <v>197</v>
      </c>
      <c r="AA38" s="106" t="s">
        <v>198</v>
      </c>
    </row>
    <row r="39">
      <c r="A39" s="107" t="s">
        <v>274</v>
      </c>
      <c r="B39" s="108">
        <f>I13*2</f>
        <v>2160</v>
      </c>
      <c r="C39" s="2"/>
      <c r="D39" s="109"/>
      <c r="E39" s="110">
        <f>(B39/2)-D39</f>
        <v>1080</v>
      </c>
      <c r="F39" s="107" t="s">
        <v>61</v>
      </c>
      <c r="G39" s="111" t="s">
        <v>275</v>
      </c>
      <c r="H39" s="111" t="s">
        <v>276</v>
      </c>
      <c r="I39" s="111" t="s">
        <v>277</v>
      </c>
      <c r="J39" s="111" t="s">
        <v>278</v>
      </c>
      <c r="K39" s="111" t="s">
        <v>279</v>
      </c>
      <c r="L39" s="111" t="s">
        <v>280</v>
      </c>
      <c r="M39" s="111" t="s">
        <v>281</v>
      </c>
      <c r="N39" s="110" t="s">
        <v>103</v>
      </c>
      <c r="O39" s="112" t="s">
        <v>103</v>
      </c>
      <c r="P39" s="113" t="s">
        <v>282</v>
      </c>
      <c r="Q39" s="121" t="s">
        <v>283</v>
      </c>
      <c r="R39" s="110" t="s">
        <v>103</v>
      </c>
      <c r="S39" s="114" t="s">
        <v>274</v>
      </c>
      <c r="T39" s="95">
        <f>F13*4*2</f>
        <v>1728</v>
      </c>
      <c r="U39" s="9"/>
      <c r="V39" s="115"/>
      <c r="W39" s="116">
        <f>(T39/2)-V39</f>
        <v>864</v>
      </c>
      <c r="X39" s="98" t="s">
        <v>19</v>
      </c>
      <c r="Y39" s="105">
        <v>1.0</v>
      </c>
      <c r="Z39" s="106" t="s">
        <v>197</v>
      </c>
      <c r="AA39" s="106" t="s">
        <v>198</v>
      </c>
    </row>
    <row r="40">
      <c r="A40" s="65"/>
      <c r="B40" s="13"/>
      <c r="C40" s="14"/>
      <c r="D40" s="109"/>
      <c r="E40" s="110">
        <f>(B39/2)-D40</f>
        <v>1080</v>
      </c>
      <c r="F40" s="65"/>
      <c r="G40" s="111" t="s">
        <v>284</v>
      </c>
      <c r="H40" s="111" t="s">
        <v>285</v>
      </c>
      <c r="I40" s="111" t="s">
        <v>286</v>
      </c>
      <c r="J40" s="111" t="s">
        <v>287</v>
      </c>
      <c r="K40" s="111" t="s">
        <v>288</v>
      </c>
      <c r="L40" s="111" t="s">
        <v>289</v>
      </c>
      <c r="M40" s="111" t="s">
        <v>290</v>
      </c>
      <c r="N40" s="110" t="s">
        <v>103</v>
      </c>
      <c r="O40" s="112" t="s">
        <v>103</v>
      </c>
      <c r="P40" s="113" t="s">
        <v>291</v>
      </c>
      <c r="Q40" s="121" t="s">
        <v>283</v>
      </c>
      <c r="R40" s="110" t="s">
        <v>103</v>
      </c>
      <c r="S40" s="65"/>
      <c r="T40" s="13"/>
      <c r="U40" s="16"/>
      <c r="V40" s="115"/>
      <c r="W40" s="116">
        <f>(T39/2)-V40</f>
        <v>864</v>
      </c>
      <c r="X40" s="98" t="s">
        <v>20</v>
      </c>
      <c r="Y40" s="105">
        <v>1.05</v>
      </c>
      <c r="Z40" s="106" t="s">
        <v>197</v>
      </c>
      <c r="AA40" s="106" t="s">
        <v>198</v>
      </c>
    </row>
    <row r="41">
      <c r="A41" s="117" t="s">
        <v>292</v>
      </c>
      <c r="B41" s="89">
        <f>I14*2</f>
        <v>2390</v>
      </c>
      <c r="C41" s="9"/>
      <c r="D41" s="118"/>
      <c r="E41" s="91">
        <f>(B41/2)-D41</f>
        <v>1195</v>
      </c>
      <c r="F41" s="117" t="s">
        <v>66</v>
      </c>
      <c r="G41" s="101" t="s">
        <v>293</v>
      </c>
      <c r="H41" s="101" t="s">
        <v>294</v>
      </c>
      <c r="I41" s="101" t="s">
        <v>295</v>
      </c>
      <c r="J41" s="101" t="s">
        <v>296</v>
      </c>
      <c r="K41" s="101" t="s">
        <v>297</v>
      </c>
      <c r="L41" s="101" t="s">
        <v>298</v>
      </c>
      <c r="M41" s="101" t="s">
        <v>299</v>
      </c>
      <c r="N41" s="102" t="s">
        <v>103</v>
      </c>
      <c r="O41" s="103" t="s">
        <v>103</v>
      </c>
      <c r="P41" s="120" t="s">
        <v>300</v>
      </c>
      <c r="Q41" s="102" t="s">
        <v>103</v>
      </c>
      <c r="R41" s="102" t="s">
        <v>103</v>
      </c>
      <c r="S41" s="114" t="s">
        <v>292</v>
      </c>
      <c r="T41" s="95">
        <f>F14*4*2</f>
        <v>1912</v>
      </c>
      <c r="U41" s="9"/>
      <c r="V41" s="115"/>
      <c r="W41" s="116">
        <f>(T41/2)-V41</f>
        <v>956</v>
      </c>
      <c r="X41" s="98" t="s">
        <v>19</v>
      </c>
      <c r="Y41" s="105">
        <v>1.15</v>
      </c>
      <c r="Z41" s="106" t="s">
        <v>197</v>
      </c>
      <c r="AA41" s="106" t="s">
        <v>198</v>
      </c>
    </row>
    <row r="42">
      <c r="A42" s="65"/>
      <c r="B42" s="13"/>
      <c r="C42" s="16"/>
      <c r="D42" s="118"/>
      <c r="E42" s="91">
        <f>(B41/2)-D42</f>
        <v>1195</v>
      </c>
      <c r="F42" s="65"/>
      <c r="G42" s="101" t="s">
        <v>301</v>
      </c>
      <c r="H42" s="101" t="s">
        <v>302</v>
      </c>
      <c r="I42" s="101" t="s">
        <v>303</v>
      </c>
      <c r="J42" s="101" t="s">
        <v>304</v>
      </c>
      <c r="K42" s="101" t="s">
        <v>305</v>
      </c>
      <c r="L42" s="101" t="s">
        <v>306</v>
      </c>
      <c r="M42" s="101" t="s">
        <v>307</v>
      </c>
      <c r="N42" s="102" t="s">
        <v>103</v>
      </c>
      <c r="O42" s="103" t="s">
        <v>103</v>
      </c>
      <c r="P42" s="120" t="s">
        <v>300</v>
      </c>
      <c r="Q42" s="102" t="s">
        <v>103</v>
      </c>
      <c r="R42" s="102" t="s">
        <v>103</v>
      </c>
      <c r="S42" s="65"/>
      <c r="T42" s="13"/>
      <c r="U42" s="16"/>
      <c r="V42" s="115"/>
      <c r="W42" s="116">
        <f>(T41/2)-V41</f>
        <v>956</v>
      </c>
      <c r="X42" s="98" t="s">
        <v>20</v>
      </c>
      <c r="Y42" s="105">
        <v>1.2</v>
      </c>
      <c r="Z42" s="106" t="s">
        <v>197</v>
      </c>
      <c r="AA42" s="106" t="s">
        <v>308</v>
      </c>
    </row>
    <row r="43">
      <c r="A43" s="107" t="s">
        <v>309</v>
      </c>
      <c r="B43" s="108">
        <f>I15*2</f>
        <v>2620</v>
      </c>
      <c r="C43" s="2"/>
      <c r="D43" s="109"/>
      <c r="E43" s="110">
        <f>(B43/2)-D43</f>
        <v>1310</v>
      </c>
      <c r="F43" s="107" t="s">
        <v>71</v>
      </c>
      <c r="G43" s="111" t="s">
        <v>310</v>
      </c>
      <c r="H43" s="111" t="s">
        <v>311</v>
      </c>
      <c r="I43" s="111" t="s">
        <v>312</v>
      </c>
      <c r="J43" s="111" t="s">
        <v>313</v>
      </c>
      <c r="K43" s="111" t="s">
        <v>314</v>
      </c>
      <c r="L43" s="111" t="s">
        <v>315</v>
      </c>
      <c r="M43" s="111" t="s">
        <v>316</v>
      </c>
      <c r="N43" s="110" t="s">
        <v>103</v>
      </c>
      <c r="O43" s="112" t="s">
        <v>103</v>
      </c>
      <c r="P43" s="113" t="s">
        <v>317</v>
      </c>
      <c r="Q43" s="121" t="s">
        <v>318</v>
      </c>
      <c r="R43" s="121" t="s">
        <v>319</v>
      </c>
      <c r="S43" s="114" t="s">
        <v>309</v>
      </c>
      <c r="T43" s="95">
        <f>F15*4*2</f>
        <v>2096</v>
      </c>
      <c r="U43" s="9"/>
      <c r="V43" s="115"/>
      <c r="W43" s="116">
        <f>(T43/2)-V43</f>
        <v>1048</v>
      </c>
      <c r="X43" s="98" t="s">
        <v>19</v>
      </c>
      <c r="Y43" s="105">
        <v>1.25</v>
      </c>
      <c r="Z43" s="106" t="s">
        <v>197</v>
      </c>
      <c r="AA43" s="106" t="s">
        <v>308</v>
      </c>
    </row>
    <row r="44">
      <c r="A44" s="65"/>
      <c r="B44" s="13"/>
      <c r="C44" s="14"/>
      <c r="D44" s="124"/>
      <c r="E44" s="110">
        <f>(B43/2)-D44</f>
        <v>1310</v>
      </c>
      <c r="F44" s="65"/>
      <c r="G44" s="111" t="s">
        <v>320</v>
      </c>
      <c r="H44" s="111" t="s">
        <v>321</v>
      </c>
      <c r="I44" s="111" t="s">
        <v>322</v>
      </c>
      <c r="J44" s="111" t="s">
        <v>323</v>
      </c>
      <c r="K44" s="111" t="s">
        <v>324</v>
      </c>
      <c r="L44" s="111" t="s">
        <v>325</v>
      </c>
      <c r="M44" s="111" t="s">
        <v>326</v>
      </c>
      <c r="N44" s="110" t="s">
        <v>103</v>
      </c>
      <c r="O44" s="112" t="s">
        <v>103</v>
      </c>
      <c r="P44" s="113" t="s">
        <v>327</v>
      </c>
      <c r="Q44" s="121" t="s">
        <v>328</v>
      </c>
      <c r="R44" s="121" t="s">
        <v>329</v>
      </c>
      <c r="S44" s="65"/>
      <c r="T44" s="13"/>
      <c r="U44" s="16"/>
      <c r="V44" s="104"/>
      <c r="W44" s="116">
        <f>(T43/2)-V43</f>
        <v>1048</v>
      </c>
      <c r="X44" s="98" t="s">
        <v>20</v>
      </c>
      <c r="Y44" s="105">
        <v>1.3</v>
      </c>
      <c r="Z44" s="106" t="s">
        <v>197</v>
      </c>
      <c r="AA44" s="106" t="s">
        <v>308</v>
      </c>
    </row>
    <row r="45">
      <c r="A45" s="117" t="s">
        <v>330</v>
      </c>
      <c r="B45" s="89">
        <f>I16*2</f>
        <v>2850</v>
      </c>
      <c r="C45" s="9"/>
      <c r="D45" s="100"/>
      <c r="E45" s="91">
        <f>(B45/2)-D45</f>
        <v>1425</v>
      </c>
      <c r="F45" s="117" t="s">
        <v>76</v>
      </c>
      <c r="G45" s="101" t="s">
        <v>331</v>
      </c>
      <c r="H45" s="101" t="s">
        <v>332</v>
      </c>
      <c r="I45" s="101" t="s">
        <v>333</v>
      </c>
      <c r="J45" s="101" t="s">
        <v>334</v>
      </c>
      <c r="K45" s="101" t="s">
        <v>335</v>
      </c>
      <c r="L45" s="101" t="s">
        <v>336</v>
      </c>
      <c r="M45" s="101" t="s">
        <v>337</v>
      </c>
      <c r="N45" s="102" t="s">
        <v>103</v>
      </c>
      <c r="O45" s="103" t="s">
        <v>103</v>
      </c>
      <c r="P45" s="120" t="s">
        <v>319</v>
      </c>
      <c r="Q45" s="119" t="s">
        <v>338</v>
      </c>
      <c r="R45" s="119" t="s">
        <v>339</v>
      </c>
      <c r="S45" s="114" t="s">
        <v>330</v>
      </c>
      <c r="T45" s="95">
        <f>F16*4*2</f>
        <v>2280</v>
      </c>
      <c r="U45" s="9"/>
      <c r="V45" s="104"/>
      <c r="W45" s="116">
        <f>(T45/2)-V45</f>
        <v>1140</v>
      </c>
      <c r="X45" s="98" t="s">
        <v>19</v>
      </c>
      <c r="Y45" s="105">
        <v>1.35</v>
      </c>
      <c r="Z45" s="106" t="s">
        <v>197</v>
      </c>
      <c r="AA45" s="106" t="s">
        <v>308</v>
      </c>
    </row>
    <row r="46">
      <c r="A46" s="65"/>
      <c r="B46" s="13"/>
      <c r="C46" s="16"/>
      <c r="D46" s="100"/>
      <c r="E46" s="91">
        <f>(B45/2)-D46</f>
        <v>1425</v>
      </c>
      <c r="F46" s="65"/>
      <c r="G46" s="101" t="s">
        <v>340</v>
      </c>
      <c r="H46" s="101" t="s">
        <v>341</v>
      </c>
      <c r="I46" s="101" t="s">
        <v>342</v>
      </c>
      <c r="J46" s="101" t="s">
        <v>343</v>
      </c>
      <c r="K46" s="101" t="s">
        <v>344</v>
      </c>
      <c r="L46" s="101" t="s">
        <v>345</v>
      </c>
      <c r="M46" s="101" t="s">
        <v>346</v>
      </c>
      <c r="N46" s="102" t="s">
        <v>103</v>
      </c>
      <c r="O46" s="103" t="s">
        <v>103</v>
      </c>
      <c r="P46" s="120" t="s">
        <v>329</v>
      </c>
      <c r="Q46" s="91" t="s">
        <v>103</v>
      </c>
      <c r="R46" s="119" t="s">
        <v>347</v>
      </c>
      <c r="S46" s="65"/>
      <c r="T46" s="13"/>
      <c r="U46" s="16"/>
      <c r="V46" s="104"/>
      <c r="W46" s="116">
        <f>(T45/2)-V45</f>
        <v>1140</v>
      </c>
      <c r="X46" s="98" t="s">
        <v>20</v>
      </c>
      <c r="Y46" s="105">
        <v>1.4</v>
      </c>
      <c r="Z46" s="106" t="s">
        <v>197</v>
      </c>
      <c r="AA46" s="106" t="s">
        <v>308</v>
      </c>
    </row>
    <row r="47">
      <c r="A47" s="107" t="s">
        <v>348</v>
      </c>
      <c r="B47" s="108">
        <f>I17*2</f>
        <v>3070</v>
      </c>
      <c r="C47" s="9"/>
      <c r="D47" s="109"/>
      <c r="E47" s="110">
        <f>(B47/2)-D47</f>
        <v>1535</v>
      </c>
      <c r="F47" s="107" t="s">
        <v>78</v>
      </c>
      <c r="G47" s="111" t="s">
        <v>349</v>
      </c>
      <c r="H47" s="111" t="s">
        <v>350</v>
      </c>
      <c r="I47" s="111" t="s">
        <v>351</v>
      </c>
      <c r="J47" s="111" t="s">
        <v>352</v>
      </c>
      <c r="K47" s="111" t="s">
        <v>353</v>
      </c>
      <c r="L47" s="111" t="s">
        <v>354</v>
      </c>
      <c r="M47" s="111" t="s">
        <v>355</v>
      </c>
      <c r="N47" s="121" t="s">
        <v>356</v>
      </c>
      <c r="O47" s="113" t="s">
        <v>357</v>
      </c>
      <c r="P47" s="113" t="s">
        <v>358</v>
      </c>
      <c r="Q47" s="125" t="s">
        <v>359</v>
      </c>
      <c r="R47" s="121" t="s">
        <v>360</v>
      </c>
      <c r="S47" s="114" t="s">
        <v>348</v>
      </c>
      <c r="T47" s="95">
        <f>F17*4*2</f>
        <v>2456</v>
      </c>
      <c r="U47" s="9"/>
      <c r="V47" s="115"/>
      <c r="W47" s="116">
        <f>(T47/2)-V47</f>
        <v>1228</v>
      </c>
      <c r="X47" s="98" t="s">
        <v>19</v>
      </c>
      <c r="Y47" s="105">
        <v>1.45</v>
      </c>
      <c r="Z47" s="106" t="s">
        <v>197</v>
      </c>
      <c r="AA47" s="106" t="s">
        <v>361</v>
      </c>
    </row>
    <row r="48">
      <c r="A48" s="65"/>
      <c r="B48" s="13"/>
      <c r="C48" s="16"/>
      <c r="D48" s="109"/>
      <c r="E48" s="110">
        <f>(B47/2)-D48</f>
        <v>1535</v>
      </c>
      <c r="F48" s="65"/>
      <c r="G48" s="111" t="s">
        <v>362</v>
      </c>
      <c r="H48" s="111" t="s">
        <v>363</v>
      </c>
      <c r="I48" s="111" t="s">
        <v>364</v>
      </c>
      <c r="J48" s="111" t="s">
        <v>365</v>
      </c>
      <c r="K48" s="111" t="s">
        <v>366</v>
      </c>
      <c r="L48" s="112" t="s">
        <v>103</v>
      </c>
      <c r="M48" s="124" t="s">
        <v>367</v>
      </c>
      <c r="N48" s="121" t="s">
        <v>368</v>
      </c>
      <c r="O48" s="126" t="s">
        <v>369</v>
      </c>
      <c r="P48" s="113" t="s">
        <v>370</v>
      </c>
      <c r="Q48" s="121" t="s">
        <v>371</v>
      </c>
      <c r="R48" s="121" t="s">
        <v>372</v>
      </c>
      <c r="S48" s="65"/>
      <c r="T48" s="13"/>
      <c r="U48" s="16"/>
      <c r="V48" s="115"/>
      <c r="W48" s="116">
        <f>(T47/2)-V47</f>
        <v>1228</v>
      </c>
      <c r="X48" s="98" t="s">
        <v>20</v>
      </c>
      <c r="Y48" s="105">
        <v>1.5</v>
      </c>
      <c r="Z48" s="106" t="s">
        <v>197</v>
      </c>
      <c r="AA48" s="106" t="s">
        <v>361</v>
      </c>
    </row>
    <row r="49">
      <c r="A49" s="117" t="s">
        <v>373</v>
      </c>
      <c r="B49" s="89">
        <f>I18*2</f>
        <v>3300</v>
      </c>
      <c r="C49" s="9"/>
      <c r="D49" s="118"/>
      <c r="E49" s="91">
        <f>(B49/2)-D49</f>
        <v>1650</v>
      </c>
      <c r="F49" s="117" t="s">
        <v>81</v>
      </c>
      <c r="G49" s="101" t="s">
        <v>374</v>
      </c>
      <c r="H49" s="101" t="s">
        <v>375</v>
      </c>
      <c r="I49" s="101" t="s">
        <v>376</v>
      </c>
      <c r="J49" s="101" t="s">
        <v>377</v>
      </c>
      <c r="K49" s="101" t="s">
        <v>378</v>
      </c>
      <c r="L49" s="101" t="s">
        <v>379</v>
      </c>
      <c r="M49" s="101" t="s">
        <v>380</v>
      </c>
      <c r="N49" s="119" t="s">
        <v>381</v>
      </c>
      <c r="O49" s="127" t="s">
        <v>382</v>
      </c>
      <c r="P49" s="120" t="s">
        <v>383</v>
      </c>
      <c r="Q49" s="119" t="s">
        <v>384</v>
      </c>
      <c r="R49" s="119" t="s">
        <v>385</v>
      </c>
      <c r="S49" s="114" t="s">
        <v>373</v>
      </c>
      <c r="T49" s="95">
        <f>F18*4*2</f>
        <v>2640</v>
      </c>
      <c r="U49" s="9"/>
      <c r="V49" s="115"/>
      <c r="W49" s="97">
        <f>(T49/2)-V49</f>
        <v>1320</v>
      </c>
      <c r="X49" s="98" t="s">
        <v>19</v>
      </c>
      <c r="Y49" s="105">
        <v>1.55</v>
      </c>
      <c r="Z49" s="106" t="s">
        <v>197</v>
      </c>
      <c r="AA49" s="106" t="s">
        <v>361</v>
      </c>
    </row>
    <row r="50">
      <c r="A50" s="65"/>
      <c r="B50" s="13"/>
      <c r="C50" s="16"/>
      <c r="D50" s="118"/>
      <c r="E50" s="91">
        <f>(B49/2)-D50</f>
        <v>1650</v>
      </c>
      <c r="F50" s="65"/>
      <c r="G50" s="101" t="s">
        <v>386</v>
      </c>
      <c r="H50" s="101" t="s">
        <v>387</v>
      </c>
      <c r="I50" s="101" t="s">
        <v>388</v>
      </c>
      <c r="J50" s="101" t="s">
        <v>389</v>
      </c>
      <c r="K50" s="101" t="s">
        <v>390</v>
      </c>
      <c r="L50" s="103" t="s">
        <v>103</v>
      </c>
      <c r="M50" s="100" t="s">
        <v>391</v>
      </c>
      <c r="N50" s="119" t="s">
        <v>392</v>
      </c>
      <c r="O50" s="120" t="s">
        <v>393</v>
      </c>
      <c r="P50" s="103" t="s">
        <v>103</v>
      </c>
      <c r="Q50" s="119" t="s">
        <v>394</v>
      </c>
      <c r="R50" s="119" t="s">
        <v>395</v>
      </c>
      <c r="S50" s="65"/>
      <c r="T50" s="13"/>
      <c r="U50" s="16"/>
      <c r="V50" s="115"/>
      <c r="W50" s="97">
        <f>(T49/2)-V49</f>
        <v>1320</v>
      </c>
      <c r="X50" s="98" t="s">
        <v>20</v>
      </c>
      <c r="Y50" s="105">
        <v>1.6</v>
      </c>
      <c r="Z50" s="106" t="s">
        <v>396</v>
      </c>
      <c r="AA50" s="106" t="s">
        <v>361</v>
      </c>
    </row>
    <row r="51">
      <c r="A51" s="107" t="s">
        <v>397</v>
      </c>
      <c r="B51" s="108">
        <f>I19*2</f>
        <v>3530</v>
      </c>
      <c r="C51" s="9"/>
      <c r="D51" s="124"/>
      <c r="E51" s="110">
        <f>(B51/2)-D51</f>
        <v>1765</v>
      </c>
      <c r="F51" s="107" t="s">
        <v>82</v>
      </c>
      <c r="G51" s="111" t="s">
        <v>398</v>
      </c>
      <c r="H51" s="111" t="s">
        <v>399</v>
      </c>
      <c r="I51" s="111" t="s">
        <v>400</v>
      </c>
      <c r="J51" s="111" t="s">
        <v>401</v>
      </c>
      <c r="K51" s="111" t="s">
        <v>402</v>
      </c>
      <c r="L51" s="111" t="s">
        <v>403</v>
      </c>
      <c r="M51" s="111" t="s">
        <v>404</v>
      </c>
      <c r="N51" s="121" t="s">
        <v>405</v>
      </c>
      <c r="O51" s="122" t="s">
        <v>103</v>
      </c>
      <c r="P51" s="113" t="s">
        <v>406</v>
      </c>
      <c r="Q51" s="121" t="s">
        <v>407</v>
      </c>
      <c r="R51" s="110" t="s">
        <v>103</v>
      </c>
      <c r="S51" s="114" t="s">
        <v>397</v>
      </c>
      <c r="T51" s="95">
        <f>F19*4*2</f>
        <v>2824</v>
      </c>
      <c r="U51" s="9"/>
      <c r="V51" s="104"/>
      <c r="W51" s="116">
        <f>(T51/2)-V51</f>
        <v>1412</v>
      </c>
      <c r="X51" s="98" t="s">
        <v>19</v>
      </c>
      <c r="Y51" s="105">
        <v>1.65</v>
      </c>
      <c r="Z51" s="106" t="s">
        <v>396</v>
      </c>
      <c r="AA51" s="106" t="s">
        <v>361</v>
      </c>
    </row>
    <row r="52">
      <c r="A52" s="65"/>
      <c r="B52" s="13"/>
      <c r="C52" s="16"/>
      <c r="D52" s="109"/>
      <c r="E52" s="110">
        <f>(B51/2)-D52</f>
        <v>1765</v>
      </c>
      <c r="F52" s="65"/>
      <c r="G52" s="111" t="s">
        <v>408</v>
      </c>
      <c r="H52" s="111" t="s">
        <v>409</v>
      </c>
      <c r="I52" s="111" t="s">
        <v>410</v>
      </c>
      <c r="J52" s="111" t="s">
        <v>411</v>
      </c>
      <c r="K52" s="111" t="s">
        <v>412</v>
      </c>
      <c r="L52" s="112" t="s">
        <v>103</v>
      </c>
      <c r="M52" s="124" t="s">
        <v>413</v>
      </c>
      <c r="N52" s="121" t="s">
        <v>414</v>
      </c>
      <c r="O52" s="112" t="s">
        <v>103</v>
      </c>
      <c r="P52" s="112" t="s">
        <v>103</v>
      </c>
      <c r="Q52" s="121" t="s">
        <v>415</v>
      </c>
      <c r="R52" s="110" t="s">
        <v>103</v>
      </c>
      <c r="S52" s="65"/>
      <c r="T52" s="13"/>
      <c r="U52" s="16"/>
      <c r="V52" s="115"/>
      <c r="W52" s="116">
        <f>(T51/2)-V52</f>
        <v>1412</v>
      </c>
      <c r="X52" s="98" t="s">
        <v>20</v>
      </c>
      <c r="Y52" s="105">
        <v>1.7</v>
      </c>
      <c r="Z52" s="106" t="s">
        <v>396</v>
      </c>
      <c r="AA52" s="106" t="s">
        <v>361</v>
      </c>
    </row>
    <row r="53">
      <c r="Y53" s="105">
        <v>1.75</v>
      </c>
      <c r="Z53" s="106" t="s">
        <v>396</v>
      </c>
      <c r="AA53" s="106" t="s">
        <v>361</v>
      </c>
    </row>
    <row r="54">
      <c r="Y54" s="105">
        <v>1.8</v>
      </c>
      <c r="Z54" s="106" t="s">
        <v>396</v>
      </c>
      <c r="AA54" s="106" t="s">
        <v>416</v>
      </c>
    </row>
    <row r="55">
      <c r="Y55" s="105">
        <v>1.85</v>
      </c>
      <c r="Z55" s="106" t="s">
        <v>396</v>
      </c>
      <c r="AA55" s="106" t="s">
        <v>416</v>
      </c>
    </row>
    <row r="60">
      <c r="R60" s="128"/>
      <c r="S60" s="128"/>
      <c r="T60" s="128"/>
      <c r="U60" s="128"/>
      <c r="V60" s="129"/>
      <c r="W60" s="129"/>
      <c r="X60" s="129"/>
      <c r="Y60" s="130"/>
      <c r="Z60" s="130"/>
      <c r="AA60" s="130"/>
      <c r="AB60" s="130"/>
      <c r="AC60" s="130"/>
      <c r="AD60" s="130"/>
      <c r="AE60" s="130"/>
      <c r="AF60" s="130"/>
      <c r="AG60" s="130"/>
      <c r="AH60" s="130"/>
      <c r="AI60" s="130"/>
      <c r="AJ60" s="130"/>
      <c r="AK60" s="130"/>
      <c r="AL60" s="130"/>
      <c r="AM60" s="130"/>
      <c r="AN60" s="130"/>
      <c r="AO60" s="130"/>
      <c r="AP60" s="130"/>
      <c r="AQ60" s="130"/>
      <c r="AR60" s="130"/>
    </row>
    <row r="61">
      <c r="R61" s="131"/>
      <c r="S61" s="132"/>
      <c r="T61" s="132"/>
      <c r="V61" s="133"/>
      <c r="W61" s="132"/>
      <c r="X61" s="132"/>
      <c r="Y61" s="134"/>
      <c r="Z61" s="134"/>
      <c r="AA61" s="134"/>
      <c r="AB61" s="134"/>
      <c r="AC61" s="134"/>
      <c r="AD61" s="134"/>
      <c r="AE61" s="134"/>
      <c r="AF61" s="132"/>
      <c r="AG61" s="132"/>
      <c r="AH61" s="135"/>
      <c r="AI61" s="129"/>
      <c r="AJ61" s="129"/>
      <c r="AK61" s="129"/>
      <c r="AL61" s="134"/>
      <c r="AM61" s="132"/>
      <c r="AN61" s="132"/>
      <c r="AO61" s="132"/>
      <c r="AP61" s="129"/>
      <c r="AQ61" s="129"/>
      <c r="AR61" s="129"/>
    </row>
    <row r="62">
      <c r="R62" s="131"/>
      <c r="V62" s="133"/>
      <c r="W62" s="132"/>
      <c r="Y62" s="134"/>
      <c r="Z62" s="134"/>
      <c r="AA62" s="134"/>
      <c r="AB62" s="134"/>
      <c r="AC62" s="134"/>
      <c r="AD62" s="134"/>
      <c r="AE62" s="134"/>
      <c r="AF62" s="132"/>
      <c r="AG62" s="132"/>
      <c r="AH62" s="135"/>
      <c r="AI62" s="129"/>
      <c r="AJ62" s="129"/>
      <c r="AK62" s="129"/>
      <c r="AL62" s="134"/>
      <c r="AM62" s="132"/>
      <c r="AN62" s="132"/>
      <c r="AO62" s="132"/>
      <c r="AP62" s="129"/>
      <c r="AQ62" s="129"/>
      <c r="AR62" s="129"/>
    </row>
    <row r="63">
      <c r="R63" s="131"/>
      <c r="S63" s="132"/>
      <c r="T63" s="132"/>
      <c r="V63" s="133"/>
      <c r="W63" s="132"/>
      <c r="X63" s="132"/>
      <c r="Y63" s="134"/>
      <c r="Z63" s="134"/>
      <c r="AA63" s="134"/>
      <c r="AB63" s="134"/>
      <c r="AC63" s="134"/>
      <c r="AD63" s="134"/>
      <c r="AE63" s="134"/>
      <c r="AF63" s="132"/>
      <c r="AG63" s="132"/>
      <c r="AH63" s="135"/>
      <c r="AI63" s="129"/>
      <c r="AJ63" s="129"/>
      <c r="AK63" s="129"/>
      <c r="AL63" s="134"/>
      <c r="AM63" s="134"/>
      <c r="AN63" s="132"/>
      <c r="AO63" s="132"/>
      <c r="AP63" s="129"/>
      <c r="AQ63" s="129"/>
      <c r="AR63" s="129"/>
    </row>
    <row r="64">
      <c r="R64" s="131"/>
      <c r="V64" s="133"/>
      <c r="W64" s="132"/>
      <c r="Y64" s="134"/>
      <c r="Z64" s="134"/>
      <c r="AA64" s="134"/>
      <c r="AB64" s="134"/>
      <c r="AC64" s="134"/>
      <c r="AD64" s="134"/>
      <c r="AE64" s="134"/>
      <c r="AF64" s="132"/>
      <c r="AG64" s="132"/>
      <c r="AH64" s="135"/>
      <c r="AI64" s="129"/>
      <c r="AJ64" s="129"/>
      <c r="AK64" s="129"/>
      <c r="AL64" s="134"/>
      <c r="AM64" s="134"/>
      <c r="AN64" s="132"/>
      <c r="AO64" s="132"/>
      <c r="AP64" s="129"/>
      <c r="AQ64" s="129"/>
      <c r="AR64" s="129"/>
    </row>
    <row r="65">
      <c r="R65" s="131"/>
      <c r="S65" s="132"/>
      <c r="T65" s="132"/>
      <c r="V65" s="133"/>
      <c r="W65" s="132"/>
      <c r="X65" s="132"/>
      <c r="Y65" s="134"/>
      <c r="Z65" s="134"/>
      <c r="AA65" s="134"/>
      <c r="AB65" s="134"/>
      <c r="AC65" s="134"/>
      <c r="AD65" s="134"/>
      <c r="AE65" s="134"/>
      <c r="AF65" s="134"/>
      <c r="AG65" s="132"/>
      <c r="AH65" s="135"/>
      <c r="AI65" s="129"/>
      <c r="AJ65" s="129"/>
      <c r="AK65" s="129"/>
      <c r="AL65" s="134"/>
      <c r="AM65" s="134"/>
      <c r="AN65" s="134"/>
      <c r="AO65" s="132"/>
      <c r="AP65" s="129"/>
      <c r="AQ65" s="129"/>
      <c r="AR65" s="129"/>
    </row>
    <row r="66">
      <c r="R66" s="131"/>
      <c r="V66" s="133"/>
      <c r="W66" s="132"/>
      <c r="Y66" s="134"/>
      <c r="Z66" s="134"/>
      <c r="AA66" s="134"/>
      <c r="AB66" s="134"/>
      <c r="AC66" s="134"/>
      <c r="AD66" s="134"/>
      <c r="AE66" s="134"/>
      <c r="AF66" s="134"/>
      <c r="AG66" s="132"/>
      <c r="AH66" s="135"/>
      <c r="AI66" s="129"/>
      <c r="AJ66" s="129"/>
      <c r="AK66" s="129"/>
      <c r="AL66" s="134"/>
      <c r="AM66" s="134"/>
      <c r="AN66" s="134"/>
      <c r="AO66" s="132"/>
      <c r="AP66" s="129"/>
      <c r="AQ66" s="129"/>
      <c r="AR66" s="129"/>
    </row>
    <row r="67">
      <c r="R67" s="131"/>
      <c r="S67" s="132"/>
      <c r="T67" s="132"/>
      <c r="V67" s="133"/>
      <c r="W67" s="132"/>
      <c r="X67" s="132"/>
      <c r="Y67" s="134"/>
      <c r="Z67" s="134"/>
      <c r="AA67" s="134"/>
      <c r="AB67" s="134"/>
      <c r="AC67" s="134"/>
      <c r="AD67" s="134"/>
      <c r="AE67" s="134"/>
      <c r="AF67" s="134"/>
      <c r="AG67" s="134"/>
      <c r="AH67" s="135"/>
      <c r="AI67" s="129"/>
      <c r="AJ67" s="129"/>
      <c r="AK67" s="129"/>
      <c r="AL67" s="134"/>
      <c r="AM67" s="134"/>
      <c r="AN67" s="134"/>
      <c r="AO67" s="132"/>
      <c r="AP67" s="129"/>
      <c r="AQ67" s="129"/>
      <c r="AR67" s="129"/>
    </row>
    <row r="68">
      <c r="R68" s="131"/>
      <c r="V68" s="133"/>
      <c r="W68" s="132"/>
      <c r="Y68" s="134"/>
      <c r="Z68" s="134"/>
      <c r="AA68" s="134"/>
      <c r="AB68" s="134"/>
      <c r="AC68" s="134"/>
      <c r="AD68" s="134"/>
      <c r="AE68" s="134"/>
      <c r="AF68" s="134"/>
      <c r="AG68" s="132"/>
      <c r="AH68" s="135"/>
      <c r="AI68" s="129"/>
      <c r="AJ68" s="129"/>
      <c r="AK68" s="129"/>
      <c r="AL68" s="134"/>
      <c r="AM68" s="134"/>
      <c r="AN68" s="134"/>
      <c r="AO68" s="132"/>
      <c r="AP68" s="129"/>
      <c r="AQ68" s="129"/>
      <c r="AR68" s="129"/>
    </row>
    <row r="69">
      <c r="R69" s="131"/>
      <c r="S69" s="132"/>
      <c r="T69" s="132"/>
      <c r="V69" s="133"/>
      <c r="W69" s="132"/>
      <c r="X69" s="132"/>
      <c r="Y69" s="134"/>
      <c r="Z69" s="134"/>
      <c r="AA69" s="134"/>
      <c r="AB69" s="134"/>
      <c r="AC69" s="134"/>
      <c r="AD69" s="134"/>
      <c r="AE69" s="134"/>
      <c r="AF69" s="132"/>
      <c r="AG69" s="132"/>
      <c r="AH69" s="135"/>
      <c r="AI69" s="129"/>
      <c r="AJ69" s="129"/>
      <c r="AK69" s="129"/>
      <c r="AL69" s="134"/>
      <c r="AM69" s="134"/>
      <c r="AN69" s="134"/>
      <c r="AO69" s="132"/>
      <c r="AP69" s="129"/>
      <c r="AQ69" s="129"/>
      <c r="AR69" s="129"/>
    </row>
    <row r="70">
      <c r="R70" s="131"/>
      <c r="V70" s="133"/>
      <c r="W70" s="132"/>
      <c r="Y70" s="134"/>
      <c r="Z70" s="134"/>
      <c r="AA70" s="134"/>
      <c r="AB70" s="134"/>
      <c r="AC70" s="134"/>
      <c r="AD70" s="134"/>
      <c r="AE70" s="134"/>
      <c r="AF70" s="132"/>
      <c r="AG70" s="132"/>
      <c r="AH70" s="135"/>
      <c r="AI70" s="129"/>
      <c r="AJ70" s="129"/>
      <c r="AK70" s="129"/>
      <c r="AL70" s="134"/>
      <c r="AM70" s="134"/>
      <c r="AN70" s="134"/>
      <c r="AO70" s="132"/>
      <c r="AP70" s="129"/>
      <c r="AQ70" s="129"/>
      <c r="AR70" s="129"/>
    </row>
    <row r="71">
      <c r="R71" s="131"/>
      <c r="S71" s="132"/>
      <c r="T71" s="132"/>
      <c r="V71" s="133"/>
      <c r="W71" s="132"/>
      <c r="X71" s="132"/>
      <c r="Y71" s="134"/>
      <c r="Z71" s="134"/>
      <c r="AA71" s="134"/>
      <c r="AB71" s="134"/>
      <c r="AC71" s="134"/>
      <c r="AD71" s="134"/>
      <c r="AE71" s="134"/>
      <c r="AF71" s="132"/>
      <c r="AG71" s="132"/>
      <c r="AH71" s="135"/>
      <c r="AI71" s="129"/>
      <c r="AJ71" s="129"/>
      <c r="AK71" s="129"/>
      <c r="AL71" s="134"/>
      <c r="AM71" s="134"/>
      <c r="AN71" s="134"/>
      <c r="AO71" s="134"/>
      <c r="AP71" s="129"/>
      <c r="AQ71" s="129"/>
      <c r="AR71" s="129"/>
    </row>
    <row r="72">
      <c r="R72" s="131"/>
      <c r="V72" s="133"/>
      <c r="W72" s="132"/>
      <c r="Y72" s="134"/>
      <c r="Z72" s="134"/>
      <c r="AA72" s="134"/>
      <c r="AB72" s="134"/>
      <c r="AC72" s="134"/>
      <c r="AD72" s="134"/>
      <c r="AE72" s="134"/>
      <c r="AF72" s="132"/>
      <c r="AG72" s="132"/>
      <c r="AH72" s="135"/>
      <c r="AI72" s="129"/>
      <c r="AJ72" s="129"/>
      <c r="AK72" s="129"/>
      <c r="AL72" s="134"/>
      <c r="AM72" s="134"/>
      <c r="AN72" s="134"/>
      <c r="AO72" s="134"/>
      <c r="AP72" s="129"/>
      <c r="AQ72" s="129"/>
      <c r="AR72" s="129"/>
    </row>
    <row r="73">
      <c r="R73" s="131"/>
      <c r="S73" s="132"/>
      <c r="T73" s="132"/>
      <c r="V73" s="133"/>
      <c r="W73" s="132"/>
      <c r="X73" s="132"/>
      <c r="Y73" s="134"/>
      <c r="Z73" s="134"/>
      <c r="AA73" s="134"/>
      <c r="AB73" s="134"/>
      <c r="AC73" s="134"/>
      <c r="AD73" s="134"/>
      <c r="AE73" s="134"/>
      <c r="AF73" s="132"/>
      <c r="AG73" s="132"/>
      <c r="AH73" s="135"/>
      <c r="AI73" s="129"/>
      <c r="AJ73" s="129"/>
      <c r="AK73" s="129"/>
      <c r="AL73" s="134"/>
      <c r="AM73" s="134"/>
      <c r="AN73" s="134"/>
      <c r="AP73" s="129"/>
      <c r="AQ73" s="129"/>
      <c r="AR73" s="129"/>
    </row>
    <row r="74">
      <c r="R74" s="131"/>
      <c r="V74" s="133"/>
      <c r="W74" s="132"/>
      <c r="Y74" s="134"/>
      <c r="Z74" s="134"/>
      <c r="AA74" s="134"/>
      <c r="AB74" s="134"/>
      <c r="AC74" s="134"/>
      <c r="AD74" s="134"/>
      <c r="AE74" s="134"/>
      <c r="AF74" s="132"/>
      <c r="AG74" s="132"/>
      <c r="AH74" s="135"/>
      <c r="AI74" s="129"/>
      <c r="AJ74" s="129"/>
      <c r="AK74" s="129"/>
      <c r="AL74" s="134"/>
      <c r="AM74" s="134"/>
      <c r="AN74" s="134"/>
      <c r="AP74" s="129"/>
      <c r="AQ74" s="129"/>
      <c r="AR74" s="129"/>
    </row>
    <row r="75">
      <c r="R75" s="131"/>
      <c r="S75" s="132"/>
      <c r="T75" s="132"/>
      <c r="V75" s="133"/>
      <c r="W75" s="132"/>
      <c r="X75" s="132"/>
      <c r="Y75" s="134"/>
      <c r="Z75" s="134"/>
      <c r="AA75" s="134"/>
      <c r="AB75" s="134"/>
      <c r="AC75" s="134"/>
      <c r="AD75" s="134"/>
      <c r="AE75" s="134"/>
      <c r="AF75" s="132"/>
      <c r="AG75" s="132"/>
      <c r="AH75" s="135"/>
      <c r="AI75" s="129"/>
      <c r="AJ75" s="129"/>
      <c r="AK75" s="129"/>
      <c r="AL75" s="134"/>
      <c r="AM75" s="134"/>
      <c r="AN75" s="132"/>
      <c r="AO75" s="132"/>
      <c r="AP75" s="129"/>
      <c r="AQ75" s="129"/>
      <c r="AR75" s="129"/>
    </row>
    <row r="76">
      <c r="R76" s="131"/>
      <c r="V76" s="133"/>
      <c r="W76" s="132"/>
      <c r="Y76" s="134"/>
      <c r="Z76" s="134"/>
      <c r="AA76" s="134"/>
      <c r="AB76" s="134"/>
      <c r="AC76" s="134"/>
      <c r="AD76" s="134"/>
      <c r="AE76" s="134"/>
      <c r="AF76" s="132"/>
      <c r="AG76" s="132"/>
      <c r="AH76" s="135"/>
      <c r="AI76" s="129"/>
      <c r="AJ76" s="129"/>
      <c r="AK76" s="129"/>
      <c r="AL76" s="134"/>
      <c r="AM76" s="134"/>
      <c r="AN76" s="132"/>
      <c r="AO76" s="132"/>
      <c r="AP76" s="129"/>
      <c r="AQ76" s="129"/>
      <c r="AR76" s="129"/>
    </row>
    <row r="77">
      <c r="R77" s="131"/>
      <c r="S77" s="132"/>
      <c r="T77" s="132"/>
      <c r="V77" s="133"/>
      <c r="W77" s="132"/>
      <c r="X77" s="132"/>
      <c r="Y77" s="134"/>
      <c r="Z77" s="134"/>
      <c r="AA77" s="134"/>
      <c r="AB77" s="134"/>
      <c r="AC77" s="134"/>
      <c r="AD77" s="134"/>
      <c r="AE77" s="134"/>
      <c r="AF77" s="132"/>
      <c r="AG77" s="132"/>
      <c r="AH77" s="135"/>
      <c r="AI77" s="129"/>
      <c r="AJ77" s="129"/>
      <c r="AK77" s="129"/>
      <c r="AL77" s="134"/>
      <c r="AM77" s="134"/>
      <c r="AN77" s="134"/>
      <c r="AO77" s="132"/>
      <c r="AP77" s="129"/>
      <c r="AQ77" s="129"/>
      <c r="AR77" s="129"/>
    </row>
    <row r="78">
      <c r="R78" s="131"/>
      <c r="V78" s="133"/>
      <c r="W78" s="132"/>
      <c r="Y78" s="134"/>
      <c r="Z78" s="134"/>
      <c r="AA78" s="134"/>
      <c r="AB78" s="134"/>
      <c r="AC78" s="134"/>
      <c r="AD78" s="134"/>
      <c r="AE78" s="134"/>
      <c r="AF78" s="132"/>
      <c r="AG78" s="132"/>
      <c r="AH78" s="135"/>
      <c r="AI78" s="129"/>
      <c r="AJ78" s="129"/>
      <c r="AK78" s="129"/>
      <c r="AL78" s="134"/>
      <c r="AM78" s="134"/>
      <c r="AN78" s="134"/>
      <c r="AO78" s="132"/>
      <c r="AP78" s="129"/>
      <c r="AQ78" s="129"/>
      <c r="AR78" s="129"/>
    </row>
    <row r="79">
      <c r="R79" s="131"/>
      <c r="S79" s="132"/>
      <c r="T79" s="132"/>
      <c r="V79" s="133"/>
      <c r="W79" s="132"/>
      <c r="X79" s="132"/>
      <c r="Y79" s="134"/>
      <c r="Z79" s="134"/>
      <c r="AA79" s="134"/>
      <c r="AB79" s="134"/>
      <c r="AC79" s="134"/>
      <c r="AD79" s="134"/>
      <c r="AE79" s="134"/>
      <c r="AF79" s="132"/>
      <c r="AG79" s="132"/>
      <c r="AH79" s="135"/>
      <c r="AI79" s="129"/>
      <c r="AJ79" s="129"/>
      <c r="AK79" s="129"/>
      <c r="AL79" s="134"/>
      <c r="AM79" s="134"/>
      <c r="AN79" s="134"/>
      <c r="AO79" s="132"/>
      <c r="AP79" s="129"/>
      <c r="AQ79" s="129"/>
      <c r="AR79" s="129"/>
    </row>
    <row r="80">
      <c r="R80" s="131"/>
      <c r="V80" s="133"/>
      <c r="W80" s="132"/>
      <c r="Y80" s="134"/>
      <c r="Z80" s="134"/>
      <c r="AA80" s="134"/>
      <c r="AB80" s="134"/>
      <c r="AC80" s="134"/>
      <c r="AD80" s="134"/>
      <c r="AE80" s="134"/>
      <c r="AF80" s="132"/>
      <c r="AG80" s="132"/>
      <c r="AH80" s="135"/>
      <c r="AI80" s="129"/>
      <c r="AJ80" s="129"/>
      <c r="AK80" s="129"/>
      <c r="AL80" s="134"/>
      <c r="AM80" s="134"/>
      <c r="AN80" s="134"/>
      <c r="AO80" s="132"/>
      <c r="AP80" s="129"/>
      <c r="AQ80" s="129"/>
      <c r="AR80" s="129"/>
    </row>
    <row r="81">
      <c r="R81" s="131"/>
      <c r="S81" s="132"/>
      <c r="T81" s="132"/>
      <c r="V81" s="133"/>
      <c r="W81" s="132"/>
      <c r="X81" s="132"/>
      <c r="Y81" s="134"/>
      <c r="Z81" s="134"/>
      <c r="AA81" s="134"/>
      <c r="AB81" s="134"/>
      <c r="AC81" s="134"/>
      <c r="AD81" s="134"/>
      <c r="AE81" s="134"/>
      <c r="AF81" s="132"/>
      <c r="AG81" s="132"/>
      <c r="AH81" s="135"/>
      <c r="AI81" s="129"/>
      <c r="AJ81" s="129"/>
      <c r="AK81" s="129"/>
      <c r="AL81" s="134"/>
      <c r="AM81" s="134"/>
      <c r="AN81" s="132"/>
      <c r="AO81" s="132"/>
      <c r="AP81" s="129"/>
      <c r="AQ81" s="129"/>
      <c r="AR81" s="129"/>
    </row>
    <row r="82">
      <c r="R82" s="131"/>
      <c r="V82" s="133"/>
      <c r="W82" s="132"/>
      <c r="Y82" s="134"/>
      <c r="Z82" s="134"/>
      <c r="AA82" s="134"/>
      <c r="AB82" s="134"/>
      <c r="AC82" s="134"/>
      <c r="AD82" s="134"/>
      <c r="AE82" s="134"/>
      <c r="AF82" s="132"/>
      <c r="AG82" s="132"/>
      <c r="AH82" s="135"/>
      <c r="AI82" s="129"/>
      <c r="AJ82" s="129"/>
      <c r="AK82" s="129"/>
      <c r="AL82" s="134"/>
      <c r="AM82" s="134"/>
      <c r="AN82" s="132"/>
      <c r="AO82" s="132"/>
      <c r="AP82" s="129"/>
      <c r="AQ82" s="129"/>
      <c r="AR82" s="129"/>
    </row>
    <row r="83">
      <c r="R83" s="131"/>
      <c r="S83" s="132"/>
      <c r="T83" s="132"/>
      <c r="V83" s="133"/>
      <c r="W83" s="132"/>
      <c r="X83" s="132"/>
      <c r="Y83" s="134"/>
      <c r="Z83" s="134"/>
      <c r="AA83" s="134"/>
      <c r="AB83" s="134"/>
      <c r="AC83" s="134"/>
      <c r="AD83" s="134"/>
      <c r="AE83" s="134"/>
      <c r="AF83" s="132"/>
      <c r="AG83" s="132"/>
      <c r="AH83" s="135"/>
      <c r="AI83" s="129"/>
      <c r="AJ83" s="129"/>
      <c r="AK83" s="129"/>
      <c r="AL83" s="134"/>
      <c r="AM83" s="134"/>
      <c r="AN83" s="134"/>
      <c r="AO83" s="134"/>
      <c r="AP83" s="129"/>
      <c r="AQ83" s="129"/>
      <c r="AR83" s="129"/>
    </row>
    <row r="84">
      <c r="R84" s="131"/>
      <c r="V84" s="133"/>
      <c r="W84" s="132"/>
      <c r="Y84" s="134"/>
      <c r="Z84" s="134"/>
      <c r="AA84" s="134"/>
      <c r="AB84" s="134"/>
      <c r="AC84" s="134"/>
      <c r="AD84" s="134"/>
      <c r="AE84" s="134"/>
      <c r="AF84" s="132"/>
      <c r="AG84" s="132"/>
      <c r="AH84" s="135"/>
      <c r="AI84" s="129"/>
      <c r="AJ84" s="129"/>
      <c r="AK84" s="129"/>
      <c r="AL84" s="134"/>
      <c r="AM84" s="134"/>
      <c r="AN84" s="134"/>
      <c r="AO84" s="134"/>
      <c r="AP84" s="129"/>
      <c r="AQ84" s="129"/>
      <c r="AR84" s="129"/>
    </row>
    <row r="85">
      <c r="R85" s="131"/>
      <c r="S85" s="132"/>
      <c r="T85" s="132"/>
      <c r="V85" s="133"/>
      <c r="W85" s="132"/>
      <c r="X85" s="132"/>
      <c r="Y85" s="134"/>
      <c r="Z85" s="134"/>
      <c r="AA85" s="134"/>
      <c r="AB85" s="134"/>
      <c r="AC85" s="134"/>
      <c r="AD85" s="134"/>
      <c r="AE85" s="134"/>
      <c r="AF85" s="132"/>
      <c r="AG85" s="132"/>
      <c r="AH85" s="135"/>
      <c r="AI85" s="129"/>
      <c r="AJ85" s="129"/>
      <c r="AK85" s="129"/>
      <c r="AL85" s="134"/>
      <c r="AM85" s="134"/>
      <c r="AN85" s="134"/>
      <c r="AO85" s="134"/>
      <c r="AP85" s="129"/>
      <c r="AQ85" s="129"/>
      <c r="AR85" s="129"/>
    </row>
    <row r="86">
      <c r="R86" s="131"/>
      <c r="V86" s="133"/>
      <c r="W86" s="132"/>
      <c r="Y86" s="134"/>
      <c r="Z86" s="134"/>
      <c r="AA86" s="134"/>
      <c r="AB86" s="134"/>
      <c r="AC86" s="134"/>
      <c r="AD86" s="134"/>
      <c r="AE86" s="134"/>
      <c r="AF86" s="132"/>
      <c r="AG86" s="132"/>
      <c r="AH86" s="135"/>
      <c r="AI86" s="129"/>
      <c r="AJ86" s="129"/>
      <c r="AK86" s="129"/>
      <c r="AL86" s="134"/>
      <c r="AM86" s="134"/>
      <c r="AN86" s="132"/>
      <c r="AO86" s="134"/>
      <c r="AP86" s="129"/>
      <c r="AQ86" s="129"/>
      <c r="AR86" s="129"/>
    </row>
    <row r="87">
      <c r="R87" s="131"/>
      <c r="S87" s="132"/>
      <c r="T87" s="132"/>
      <c r="V87" s="133"/>
      <c r="W87" s="132"/>
      <c r="X87" s="132"/>
      <c r="Y87" s="134"/>
      <c r="Z87" s="134"/>
      <c r="AA87" s="134"/>
      <c r="AB87" s="134"/>
      <c r="AC87" s="134"/>
      <c r="AD87" s="134"/>
      <c r="AE87" s="134"/>
      <c r="AF87" s="134"/>
      <c r="AG87" s="134"/>
      <c r="AH87" s="135"/>
      <c r="AI87" s="129"/>
      <c r="AJ87" s="129"/>
      <c r="AK87" s="129"/>
      <c r="AL87" s="134"/>
      <c r="AM87" s="134"/>
      <c r="AN87" s="134"/>
      <c r="AO87" s="134"/>
      <c r="AP87" s="129"/>
      <c r="AQ87" s="129"/>
      <c r="AR87" s="129"/>
    </row>
    <row r="88">
      <c r="R88" s="131"/>
      <c r="V88" s="133"/>
      <c r="W88" s="132"/>
      <c r="Y88" s="134"/>
      <c r="Z88" s="134"/>
      <c r="AA88" s="134"/>
      <c r="AB88" s="134"/>
      <c r="AC88" s="134"/>
      <c r="AD88" s="132"/>
      <c r="AE88" s="134"/>
      <c r="AF88" s="134"/>
      <c r="AG88" s="134"/>
      <c r="AH88" s="135"/>
      <c r="AI88" s="129"/>
      <c r="AJ88" s="129"/>
      <c r="AK88" s="129"/>
      <c r="AL88" s="134"/>
      <c r="AM88" s="134"/>
      <c r="AN88" s="134"/>
      <c r="AO88" s="134"/>
      <c r="AP88" s="129"/>
      <c r="AQ88" s="129"/>
      <c r="AR88" s="129"/>
    </row>
    <row r="89">
      <c r="R89" s="131"/>
      <c r="S89" s="132"/>
      <c r="T89" s="132"/>
      <c r="V89" s="133"/>
      <c r="W89" s="132"/>
      <c r="X89" s="132"/>
      <c r="Y89" s="134"/>
      <c r="Z89" s="134"/>
      <c r="AA89" s="134"/>
      <c r="AB89" s="134"/>
      <c r="AC89" s="134"/>
      <c r="AD89" s="134"/>
      <c r="AE89" s="134"/>
      <c r="AF89" s="134"/>
      <c r="AG89" s="134"/>
      <c r="AH89" s="135"/>
      <c r="AI89" s="129"/>
      <c r="AJ89" s="129"/>
      <c r="AK89" s="129"/>
      <c r="AL89" s="134"/>
      <c r="AM89" s="134"/>
      <c r="AN89" s="134"/>
      <c r="AO89" s="134"/>
      <c r="AP89" s="129"/>
      <c r="AQ89" s="129"/>
      <c r="AR89" s="129"/>
    </row>
    <row r="90">
      <c r="R90" s="131"/>
      <c r="V90" s="133"/>
      <c r="W90" s="132"/>
      <c r="Y90" s="134"/>
      <c r="Z90" s="134"/>
      <c r="AA90" s="134"/>
      <c r="AB90" s="134"/>
      <c r="AC90" s="134"/>
      <c r="AD90" s="132"/>
      <c r="AE90" s="134"/>
      <c r="AF90" s="134"/>
      <c r="AG90" s="134"/>
      <c r="AH90" s="135"/>
      <c r="AI90" s="129"/>
      <c r="AJ90" s="129"/>
      <c r="AK90" s="129"/>
      <c r="AL90" s="134"/>
      <c r="AM90" s="132"/>
      <c r="AN90" s="134"/>
      <c r="AO90" s="134"/>
      <c r="AP90" s="129"/>
      <c r="AQ90" s="129"/>
      <c r="AR90" s="129"/>
    </row>
    <row r="91">
      <c r="R91" s="131"/>
      <c r="S91" s="132"/>
      <c r="T91" s="132"/>
      <c r="V91" s="133"/>
      <c r="W91" s="132"/>
      <c r="X91" s="132"/>
      <c r="Y91" s="134"/>
      <c r="Z91" s="134"/>
      <c r="AA91" s="134"/>
      <c r="AB91" s="134"/>
      <c r="AC91" s="134"/>
      <c r="AD91" s="134"/>
      <c r="AE91" s="134"/>
      <c r="AF91" s="134"/>
      <c r="AG91" s="132"/>
      <c r="AH91" s="135"/>
      <c r="AI91" s="129"/>
      <c r="AJ91" s="129"/>
      <c r="AK91" s="129"/>
      <c r="AL91" s="134"/>
      <c r="AM91" s="134"/>
      <c r="AN91" s="134"/>
      <c r="AO91" s="132"/>
      <c r="AP91" s="129"/>
      <c r="AQ91" s="129"/>
      <c r="AR91" s="129"/>
    </row>
    <row r="92">
      <c r="R92" s="131"/>
      <c r="V92" s="133"/>
      <c r="W92" s="132"/>
      <c r="Y92" s="134"/>
      <c r="Z92" s="134"/>
      <c r="AA92" s="134"/>
      <c r="AB92" s="134"/>
      <c r="AC92" s="134"/>
      <c r="AD92" s="132"/>
      <c r="AE92" s="134"/>
      <c r="AF92" s="134"/>
      <c r="AG92" s="132"/>
      <c r="AH92" s="135"/>
      <c r="AI92" s="129"/>
      <c r="AJ92" s="129"/>
      <c r="AK92" s="129"/>
      <c r="AL92" s="134"/>
      <c r="AM92" s="132"/>
      <c r="AN92" s="134"/>
      <c r="AO92" s="132"/>
      <c r="AP92" s="130"/>
      <c r="AQ92" s="130"/>
      <c r="AR92" s="130"/>
    </row>
    <row r="997">
      <c r="C997" s="136" t="s">
        <v>417</v>
      </c>
      <c r="D997" s="56" t="s">
        <v>418</v>
      </c>
      <c r="F997" s="136" t="s">
        <v>419</v>
      </c>
      <c r="G997" s="56" t="s">
        <v>420</v>
      </c>
      <c r="H997" s="56" t="s">
        <v>421</v>
      </c>
    </row>
    <row r="998">
      <c r="A998" s="56">
        <v>75.0</v>
      </c>
      <c r="C998" s="137">
        <f t="array" ref="C998"> SUM(A998 + A999 + (ROW(INDIRECT("1:"&amp;L4))-2)*150)</f>
        <v>480000</v>
      </c>
      <c r="F998" s="137">
        <f>C999-C998-O3</f>
        <v>118683</v>
      </c>
      <c r="H998" s="137">
        <f>ROUNDUP(F998/E4,0)</f>
        <v>180</v>
      </c>
    </row>
    <row r="999">
      <c r="A999" s="56">
        <v>150.0</v>
      </c>
      <c r="C999" s="137">
        <f t="array" ref="C999"> SUM(A998 + A999 + (ROW(INDIRECT("1:"&amp;M4))-2)*150)</f>
        <v>607500</v>
      </c>
      <c r="H999" s="137">
        <f>ROUNDUP(F998/(M14+N14),0)</f>
        <v>108</v>
      </c>
    </row>
    <row r="1000">
      <c r="H1000" s="137">
        <f>ROUNDUP(F998/N14,0)</f>
        <v>270</v>
      </c>
    </row>
  </sheetData>
  <mergeCells count="149">
    <mergeCell ref="S35:S36"/>
    <mergeCell ref="S37:S38"/>
    <mergeCell ref="T37:U38"/>
    <mergeCell ref="S27:S28"/>
    <mergeCell ref="S29:S30"/>
    <mergeCell ref="S31:S32"/>
    <mergeCell ref="Q33:R34"/>
    <mergeCell ref="S33:S34"/>
    <mergeCell ref="T33:U34"/>
    <mergeCell ref="T35:U36"/>
    <mergeCell ref="F39:F40"/>
    <mergeCell ref="F41:F42"/>
    <mergeCell ref="F25:F26"/>
    <mergeCell ref="F27:F28"/>
    <mergeCell ref="F29:F30"/>
    <mergeCell ref="F31:F32"/>
    <mergeCell ref="F33:F34"/>
    <mergeCell ref="F35:F36"/>
    <mergeCell ref="F37:F38"/>
    <mergeCell ref="A41:A42"/>
    <mergeCell ref="A47:A48"/>
    <mergeCell ref="A49:A50"/>
    <mergeCell ref="A51:A52"/>
    <mergeCell ref="F45:F46"/>
    <mergeCell ref="F47:F48"/>
    <mergeCell ref="S41:S42"/>
    <mergeCell ref="S47:S48"/>
    <mergeCell ref="T47:U48"/>
    <mergeCell ref="S49:S50"/>
    <mergeCell ref="T49:U50"/>
    <mergeCell ref="S51:S52"/>
    <mergeCell ref="T51:U52"/>
    <mergeCell ref="B37:C38"/>
    <mergeCell ref="B39:C40"/>
    <mergeCell ref="S39:S40"/>
    <mergeCell ref="T39:U40"/>
    <mergeCell ref="T41:U42"/>
    <mergeCell ref="T43:U44"/>
    <mergeCell ref="T45:U46"/>
    <mergeCell ref="B49:C50"/>
    <mergeCell ref="F49:F50"/>
    <mergeCell ref="B51:C52"/>
    <mergeCell ref="F51:F52"/>
    <mergeCell ref="A35:A36"/>
    <mergeCell ref="A37:A38"/>
    <mergeCell ref="A39:A40"/>
    <mergeCell ref="B41:C42"/>
    <mergeCell ref="B43:C44"/>
    <mergeCell ref="F43:F44"/>
    <mergeCell ref="B47:C48"/>
    <mergeCell ref="A1:B2"/>
    <mergeCell ref="C1:E1"/>
    <mergeCell ref="I1:K1"/>
    <mergeCell ref="C2:E2"/>
    <mergeCell ref="H2:I2"/>
    <mergeCell ref="J2:K2"/>
    <mergeCell ref="P2:Q2"/>
    <mergeCell ref="P3:Q3"/>
    <mergeCell ref="P10:P11"/>
    <mergeCell ref="Q10:Q11"/>
    <mergeCell ref="T10:T13"/>
    <mergeCell ref="U10:U13"/>
    <mergeCell ref="V10:V13"/>
    <mergeCell ref="W10:W11"/>
    <mergeCell ref="O14:Q14"/>
    <mergeCell ref="B20:C20"/>
    <mergeCell ref="T20:U20"/>
    <mergeCell ref="Y20:AA20"/>
    <mergeCell ref="A21:A22"/>
    <mergeCell ref="B21:C22"/>
    <mergeCell ref="F21:F22"/>
    <mergeCell ref="A23:A24"/>
    <mergeCell ref="B23:C24"/>
    <mergeCell ref="F23:F24"/>
    <mergeCell ref="A25:A26"/>
    <mergeCell ref="B25:C26"/>
    <mergeCell ref="A27:A28"/>
    <mergeCell ref="B27:C28"/>
    <mergeCell ref="A29:A30"/>
    <mergeCell ref="B29:C30"/>
    <mergeCell ref="A31:A32"/>
    <mergeCell ref="B31:C32"/>
    <mergeCell ref="A33:A34"/>
    <mergeCell ref="B33:C34"/>
    <mergeCell ref="B35:C36"/>
    <mergeCell ref="A43:A44"/>
    <mergeCell ref="A45:A46"/>
    <mergeCell ref="B45:C46"/>
    <mergeCell ref="S43:S44"/>
    <mergeCell ref="S45:S46"/>
    <mergeCell ref="S75:S76"/>
    <mergeCell ref="T75:U76"/>
    <mergeCell ref="S77:S78"/>
    <mergeCell ref="T77:U78"/>
    <mergeCell ref="S79:S80"/>
    <mergeCell ref="T79:U80"/>
    <mergeCell ref="T81:U82"/>
    <mergeCell ref="S89:S90"/>
    <mergeCell ref="S91:S92"/>
    <mergeCell ref="T91:U92"/>
    <mergeCell ref="T83:U84"/>
    <mergeCell ref="T85:U86"/>
    <mergeCell ref="S87:S88"/>
    <mergeCell ref="T87:U88"/>
    <mergeCell ref="X87:X88"/>
    <mergeCell ref="T89:U90"/>
    <mergeCell ref="X89:X90"/>
    <mergeCell ref="X91:X92"/>
    <mergeCell ref="S21:S22"/>
    <mergeCell ref="T21:U22"/>
    <mergeCell ref="S23:S24"/>
    <mergeCell ref="T23:U24"/>
    <mergeCell ref="S25:S26"/>
    <mergeCell ref="T25:U26"/>
    <mergeCell ref="T27:U28"/>
    <mergeCell ref="T29:U30"/>
    <mergeCell ref="T31:U32"/>
    <mergeCell ref="S61:S62"/>
    <mergeCell ref="T61:U62"/>
    <mergeCell ref="X61:X62"/>
    <mergeCell ref="T63:U64"/>
    <mergeCell ref="X63:X64"/>
    <mergeCell ref="S71:S72"/>
    <mergeCell ref="T71:U72"/>
    <mergeCell ref="S73:S74"/>
    <mergeCell ref="T73:U74"/>
    <mergeCell ref="AN73:AO73"/>
    <mergeCell ref="AN74:AO74"/>
    <mergeCell ref="S63:S64"/>
    <mergeCell ref="S65:S66"/>
    <mergeCell ref="T65:U66"/>
    <mergeCell ref="S67:S68"/>
    <mergeCell ref="T67:U68"/>
    <mergeCell ref="S69:S70"/>
    <mergeCell ref="T69:U70"/>
    <mergeCell ref="X79:X80"/>
    <mergeCell ref="X81:X82"/>
    <mergeCell ref="X83:X84"/>
    <mergeCell ref="X85:X86"/>
    <mergeCell ref="X65:X66"/>
    <mergeCell ref="X67:X68"/>
    <mergeCell ref="X69:X70"/>
    <mergeCell ref="X71:X72"/>
    <mergeCell ref="X73:X74"/>
    <mergeCell ref="X75:X76"/>
    <mergeCell ref="X77:X78"/>
    <mergeCell ref="S81:S82"/>
    <mergeCell ref="S83:S84"/>
    <mergeCell ref="S85:S86"/>
  </mergeCells>
  <hyperlinks>
    <hyperlink r:id="rId1" ref="P3"/>
  </hyperlinks>
  <drawing r:id="rId2"/>
</worksheet>
</file>