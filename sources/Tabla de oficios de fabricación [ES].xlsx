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<sst xmlns="http://schemas.openxmlformats.org/spreadsheetml/2006/main" count="253" uniqueCount="242">
  <si>
    <t xml:space="preserve">Si tienes booster activo escribe "1" en esta casilla ---&gt; </t>
  </si>
  <si>
    <t>Si tienes bonus de experiencia (gremio, merkamundo, etc.) escribe aquí el porcentaje (sin el %) ---&gt;</t>
  </si>
  <si>
    <t>REQUISITOS</t>
  </si>
  <si>
    <t>LISTA DE LA COMPRA</t>
  </si>
  <si>
    <t>Nivel del personaje</t>
  </si>
  <si>
    <t>Nivel de oficio</t>
  </si>
  <si>
    <t>Nivel de refinamiento</t>
  </si>
  <si>
    <t xml:space="preserve">Cantidad de XP </t>
  </si>
  <si>
    <t>Cantidad de items</t>
  </si>
  <si>
    <t xml:space="preserve">minerales 💎 </t>
  </si>
  <si>
    <t xml:space="preserve">madera 🌲 </t>
  </si>
  <si>
    <t xml:space="preserve">cultivos 🌾 </t>
  </si>
  <si>
    <t xml:space="preserve">peces 🐟 </t>
  </si>
  <si>
    <t xml:space="preserve">flores 🌸 </t>
  </si>
  <si>
    <t xml:space="preserve">recursos de mobs  🦂 </t>
  </si>
  <si>
    <t>6 al 20</t>
  </si>
  <si>
    <t>0 a 10</t>
  </si>
  <si>
    <t>tosco</t>
  </si>
  <si>
    <t>hierro</t>
  </si>
  <si>
    <t>fresno</t>
  </si>
  <si>
    <t>trigo</t>
  </si>
  <si>
    <t>pescado empanado</t>
  </si>
  <si>
    <t>cardo borriquero</t>
  </si>
  <si>
    <t>tofus, jalatós..</t>
  </si>
  <si>
    <t>flor de sal</t>
  </si>
  <si>
    <t>avellano</t>
  </si>
  <si>
    <t>topinambo</t>
  </si>
  <si>
    <t>pez miaumiau</t>
  </si>
  <si>
    <t>irys</t>
  </si>
  <si>
    <t>21 al 35</t>
  </si>
  <si>
    <t>10 a 20</t>
  </si>
  <si>
    <t>rudimentario</t>
  </si>
  <si>
    <t>carbón antiguo</t>
  </si>
  <si>
    <t>castaño</t>
  </si>
  <si>
    <t>tuberbulbo</t>
  </si>
  <si>
    <t>esturión</t>
  </si>
  <si>
    <t>menta</t>
  </si>
  <si>
    <t>abráknidos, píos..</t>
  </si>
  <si>
    <t>cobre</t>
  </si>
  <si>
    <t>ñiamzamo</t>
  </si>
  <si>
    <t>cebada</t>
  </si>
  <si>
    <t>boquerón gruñidor</t>
  </si>
  <si>
    <t>lino</t>
  </si>
  <si>
    <t>36 al 50</t>
  </si>
  <si>
    <t>20 a 30</t>
  </si>
  <si>
    <t>imperfecto</t>
  </si>
  <si>
    <t>cobalto</t>
  </si>
  <si>
    <t>abedul</t>
  </si>
  <si>
    <t>enchalada</t>
  </si>
  <si>
    <t>bamga</t>
  </si>
  <si>
    <t>orquídea</t>
  </si>
  <si>
    <t>muuugresas, crujidores..</t>
  </si>
  <si>
    <t>bronce</t>
  </si>
  <si>
    <t>boabob</t>
  </si>
  <si>
    <t>zanahowia</t>
  </si>
  <si>
    <t>raipe</t>
  </si>
  <si>
    <t>trébol</t>
  </si>
  <si>
    <t>51 al 65</t>
  </si>
  <si>
    <t>30 a 40</t>
  </si>
  <si>
    <t>frágil</t>
  </si>
  <si>
    <t>sílex</t>
  </si>
  <si>
    <t>bananaranjo</t>
  </si>
  <si>
    <t>melón</t>
  </si>
  <si>
    <t>raya velluda</t>
  </si>
  <si>
    <t>alga narina</t>
  </si>
  <si>
    <t>bworks, kokos..</t>
  </si>
  <si>
    <t>cuarzo</t>
  </si>
  <si>
    <t>sauce llorón</t>
  </si>
  <si>
    <t>avena</t>
  </si>
  <si>
    <t>salamón</t>
  </si>
  <si>
    <t>helecho lecho</t>
  </si>
  <si>
    <t>66 al 80</t>
  </si>
  <si>
    <t>40 a 50</t>
  </si>
  <si>
    <t>rústico</t>
  </si>
  <si>
    <t>cromo</t>
  </si>
  <si>
    <t>secuoygan</t>
  </si>
  <si>
    <t>champiñón veteado</t>
  </si>
  <si>
    <t>pescaluna</t>
  </si>
  <si>
    <t>tallo de caña</t>
  </si>
  <si>
    <t>pestruces, balíes..</t>
  </si>
  <si>
    <t>zinc</t>
  </si>
  <si>
    <t>álamo</t>
  </si>
  <si>
    <t>centeno</t>
  </si>
  <si>
    <t>perca</t>
  </si>
  <si>
    <t>baya de grágolo</t>
  </si>
  <si>
    <t>81 al 95</t>
  </si>
  <si>
    <t>50 a 60</t>
  </si>
  <si>
    <t>bruto</t>
  </si>
  <si>
    <t>bauxita real</t>
  </si>
  <si>
    <t>carpe</t>
  </si>
  <si>
    <t>makafé dorado</t>
  </si>
  <si>
    <t>dragocarpa</t>
  </si>
  <si>
    <t>lengua de muuugresa</t>
  </si>
  <si>
    <t>susurradores, brizlones..</t>
  </si>
  <si>
    <t>amatista</t>
  </si>
  <si>
    <t>madera desmochada</t>
  </si>
  <si>
    <t>arroz legión</t>
  </si>
  <si>
    <t>pez zobal</t>
  </si>
  <si>
    <t>rododendro</t>
  </si>
  <si>
    <t>96 al 110</t>
  </si>
  <si>
    <t>60 a 70</t>
  </si>
  <si>
    <t>sólido</t>
  </si>
  <si>
    <t>koral</t>
  </si>
  <si>
    <t>madera trepadora</t>
  </si>
  <si>
    <t>maíz</t>
  </si>
  <si>
    <t>bamgarón</t>
  </si>
  <si>
    <t>edelweiss</t>
  </si>
  <si>
    <t>glalíes, riktus..</t>
  </si>
  <si>
    <t>tarudio</t>
  </si>
  <si>
    <t>madera helada</t>
  </si>
  <si>
    <t>sandía</t>
  </si>
  <si>
    <t>tito de mar</t>
  </si>
  <si>
    <t>algodonudo</t>
  </si>
  <si>
    <t>111 al 125</t>
  </si>
  <si>
    <t>70 a 80</t>
  </si>
  <si>
    <t>duradero</t>
  </si>
  <si>
    <t>plomo</t>
  </si>
  <si>
    <t>tejo</t>
  </si>
  <si>
    <t>judía</t>
  </si>
  <si>
    <t>anguila</t>
  </si>
  <si>
    <t>aloa vero</t>
  </si>
  <si>
    <t>cacterros, charcosos..</t>
  </si>
  <si>
    <t>mineral del desierto</t>
  </si>
  <si>
    <t>madera picante</t>
  </si>
  <si>
    <t>trufa del desierto</t>
  </si>
  <si>
    <t>pez de arena</t>
  </si>
  <si>
    <t>booleto</t>
  </si>
  <si>
    <t>126 al 140</t>
  </si>
  <si>
    <t>80 a 90</t>
  </si>
  <si>
    <t>refinado</t>
  </si>
  <si>
    <t>oro negro</t>
  </si>
  <si>
    <t>champivela</t>
  </si>
  <si>
    <t>zanahowia negwa</t>
  </si>
  <si>
    <t>planctón</t>
  </si>
  <si>
    <t>trampa de dionea</t>
  </si>
  <si>
    <t>wabbits, negrasporas..</t>
  </si>
  <si>
    <t>mithwil</t>
  </si>
  <si>
    <t>belgameta</t>
  </si>
  <si>
    <t>luciseta</t>
  </si>
  <si>
    <t>pirañaña</t>
  </si>
  <si>
    <t>clavo fetada</t>
  </si>
  <si>
    <t>141 al 155</t>
  </si>
  <si>
    <t>90 a 100</t>
  </si>
  <si>
    <t>precioso</t>
  </si>
  <si>
    <t>zafiro</t>
  </si>
  <si>
    <t>saúco</t>
  </si>
  <si>
    <t>girasol</t>
  </si>
  <si>
    <t>truchatún</t>
  </si>
  <si>
    <t>pulsatila azufrada</t>
  </si>
  <si>
    <t>blops, sramvilianos..</t>
  </si>
  <si>
    <t>titanio</t>
  </si>
  <si>
    <t>madera silvestre</t>
  </si>
  <si>
    <t>col</t>
  </si>
  <si>
    <t>tiburón martillo</t>
  </si>
  <si>
    <t>kamamila</t>
  </si>
  <si>
    <t>156 al 170</t>
  </si>
  <si>
    <t>100 a 110</t>
  </si>
  <si>
    <t>exquisito</t>
  </si>
  <si>
    <t>syanuro</t>
  </si>
  <si>
    <t>madera seca</t>
  </si>
  <si>
    <t>calabaza</t>
  </si>
  <si>
    <t>vandam</t>
  </si>
  <si>
    <t>amanita</t>
  </si>
  <si>
    <t>xelots, tymadores..</t>
  </si>
  <si>
    <t>carbono oscuro</t>
  </si>
  <si>
    <t>cerezo</t>
  </si>
  <si>
    <t>fresa</t>
  </si>
  <si>
    <t>medilubo marino</t>
  </si>
  <si>
    <t>éter</t>
  </si>
  <si>
    <t>171 al 185</t>
  </si>
  <si>
    <t>110 a 120</t>
  </si>
  <si>
    <t>místico</t>
  </si>
  <si>
    <t>ámbar</t>
  </si>
  <si>
    <t>divi divi</t>
  </si>
  <si>
    <t>palma</t>
  </si>
  <si>
    <t>namo</t>
  </si>
  <si>
    <t>gracia del día</t>
  </si>
  <si>
    <t>cocodrilos, kaníbolas..</t>
  </si>
  <si>
    <t>mercurio</t>
  </si>
  <si>
    <t>kokotero</t>
  </si>
  <si>
    <t>yuka amarga</t>
  </si>
  <si>
    <t>caimán enano</t>
  </si>
  <si>
    <t>tahitariana</t>
  </si>
  <si>
    <t>186 al 200</t>
  </si>
  <si>
    <t>120 a 130</t>
  </si>
  <si>
    <t>eterno</t>
  </si>
  <si>
    <t>plata vieja</t>
  </si>
  <si>
    <t>maracajú</t>
  </si>
  <si>
    <t>pimiento</t>
  </si>
  <si>
    <t>espina de pescado</t>
  </si>
  <si>
    <t>ortiga</t>
  </si>
  <si>
    <t>dragohuevos, éternos..</t>
  </si>
  <si>
    <t>obsidiana</t>
  </si>
  <si>
    <t>zarza</t>
  </si>
  <si>
    <t>miniyute</t>
  </si>
  <si>
    <t>salamandra</t>
  </si>
  <si>
    <t>mumusgo</t>
  </si>
  <si>
    <t>201 al 215</t>
  </si>
  <si>
    <t>130 a 140</t>
  </si>
  <si>
    <t>divino</t>
  </si>
  <si>
    <t>granate helado</t>
  </si>
  <si>
    <t>algatrenza</t>
  </si>
  <si>
    <t>arándano helado</t>
  </si>
  <si>
    <t>ganva</t>
  </si>
  <si>
    <t>delfhiniom</t>
  </si>
  <si>
    <t>nievajas, plantiguardias..</t>
  </si>
  <si>
    <t>zircón</t>
  </si>
  <si>
    <t>carya</t>
  </si>
  <si>
    <t>cactoso</t>
  </si>
  <si>
    <t>ostra</t>
  </si>
  <si>
    <t>flor-copo</t>
  </si>
  <si>
    <t>216 al 230</t>
  </si>
  <si>
    <t>140 a 150</t>
  </si>
  <si>
    <t>infernal</t>
  </si>
  <si>
    <t>piedra de vacío</t>
  </si>
  <si>
    <t>noaya</t>
  </si>
  <si>
    <t>fruta del demonio</t>
  </si>
  <si>
    <t>pezostil</t>
  </si>
  <si>
    <t>galinsoga demoníaca</t>
  </si>
  <si>
    <t>fitoformes, idos..</t>
  </si>
  <si>
    <t>piedra simbiótica</t>
  </si>
  <si>
    <t>desesperárbol</t>
  </si>
  <si>
    <t>frijol maléfico</t>
  </si>
  <si>
    <t>trompembustero</t>
  </si>
  <si>
    <t>cardominador</t>
  </si>
  <si>
    <t>231 al 245</t>
  </si>
  <si>
    <t>150 a 160</t>
  </si>
  <si>
    <t>ancestral</t>
  </si>
  <si>
    <t>zircometa</t>
  </si>
  <si>
    <t>astracacia</t>
  </si>
  <si>
    <t>sanguiflor</t>
  </si>
  <si>
    <t>jefesú</t>
  </si>
  <si>
    <t>primaniola</t>
  </si>
  <si>
    <t>sabanastrales, primacizos...</t>
  </si>
  <si>
    <t>fragmonita</t>
  </si>
  <si>
    <t>lucil</t>
  </si>
  <si>
    <t>raíz esbirria</t>
  </si>
  <si>
    <t>pecelenio</t>
  </si>
  <si>
    <t>rosen</t>
  </si>
  <si>
    <t>246 al 260</t>
  </si>
  <si>
    <t>160 a 170</t>
  </si>
  <si>
    <t>???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</si>
</sst>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1F1F1F"/>
      <name val="Arial"/>
      <scheme val="minor"/>
    </font>
    <font/>
    <font>
      <color rgb="FF000000"/>
      <name val="Arial"/>
      <scheme val="minor"/>
    </font>
    <font>
      <color rgb="FF666666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1C8"/>
        <bgColor rgb="FFFFF1C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right" readingOrder="0" vertical="center"/>
    </xf>
    <xf borderId="0" fillId="3" fontId="3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/>
    </xf>
    <xf borderId="2" fillId="0" fontId="1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0" fontId="4" numFmtId="0" xfId="0" applyBorder="1" applyFont="1"/>
    <xf borderId="9" fillId="0" fontId="1" numFmtId="0" xfId="0" applyAlignment="1" applyBorder="1" applyFont="1">
      <alignment readingOrder="0"/>
    </xf>
    <xf borderId="10" fillId="0" fontId="4" numFmtId="0" xfId="0" applyBorder="1" applyFont="1"/>
    <xf borderId="11" fillId="4" fontId="1" numFmtId="0" xfId="0" applyAlignment="1" applyBorder="1" applyFill="1" applyFont="1">
      <alignment horizontal="left" readingOrder="0" vertical="center"/>
    </xf>
    <xf borderId="0" fillId="4" fontId="1" numFmtId="0" xfId="0" applyAlignment="1" applyFill="1" applyFont="1">
      <alignment readingOrder="0" vertical="center"/>
    </xf>
    <xf borderId="0" fillId="4" fontId="1" numFmtId="0" xfId="0" applyAlignment="1" applyFill="1" applyFont="1">
      <alignment horizontal="left" readingOrder="0" vertical="center"/>
    </xf>
    <xf borderId="12" fillId="4" fontId="1" numFmtId="1" xfId="0" applyAlignment="1" applyBorder="1" applyFill="1" applyFont="1" applyNumberFormat="1">
      <alignment horizontal="left" vertical="center"/>
    </xf>
    <xf borderId="0" fillId="4" fontId="1" numFmtId="1" xfId="0" applyAlignment="1" applyFill="1" applyFont="1" applyNumberFormat="1">
      <alignment horizontal="left" vertical="center"/>
    </xf>
    <xf borderId="0" fillId="4" fontId="5" numFmtId="0" xfId="0" applyAlignment="1" applyFill="1" applyFont="1">
      <alignment readingOrder="0" vertical="center"/>
    </xf>
    <xf borderId="13" fillId="4" fontId="1" numFmtId="1" xfId="0" applyAlignment="1" applyBorder="1" applyFill="1" applyFont="1" applyNumberFormat="1">
      <alignment horizontal="left" vertical="center"/>
    </xf>
    <xf borderId="12" fillId="4" fontId="1" numFmtId="0" xfId="0" applyAlignment="1" applyBorder="1" applyFill="1" applyFont="1">
      <alignment readingOrder="0" vertical="center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1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vertical="center"/>
    </xf>
    <xf borderId="12" fillId="0" fontId="1" numFmtId="1" xfId="0" applyAlignment="1" applyBorder="1" applyFont="1" applyNumberFormat="1">
      <alignment horizontal="left" vertical="center"/>
    </xf>
    <xf borderId="0" fillId="0" fontId="1" numFmtId="1" xfId="0" applyAlignment="1" applyFont="1" applyNumberFormat="1">
      <alignment horizontal="left" vertical="center"/>
    </xf>
    <xf borderId="0" fillId="0" fontId="5" numFmtId="0" xfId="0" applyAlignment="1" applyFont="1">
      <alignment readingOrder="0" vertical="center"/>
    </xf>
    <xf borderId="13" fillId="0" fontId="1" numFmtId="1" xfId="0" applyAlignment="1" applyBorder="1" applyFont="1" applyNumberFormat="1">
      <alignment horizontal="left" vertical="center"/>
    </xf>
    <xf borderId="12" fillId="0" fontId="1" numFmtId="0" xfId="0" applyAlignment="1" applyBorder="1" applyFont="1">
      <alignment readingOrder="0" vertical="center"/>
    </xf>
    <xf borderId="0" fillId="4" fontId="1" numFmtId="0" xfId="0" applyAlignment="1" applyFill="1" applyFont="1">
      <alignment horizontal="left" vertical="center"/>
    </xf>
    <xf borderId="0" fillId="3" fontId="1" numFmtId="1" xfId="0" applyAlignment="1" applyFill="1" applyFont="1" applyNumberFormat="1">
      <alignment horizontal="left" vertical="center"/>
    </xf>
    <xf borderId="14" fillId="3" fontId="5" numFmtId="0" xfId="0" applyAlignment="1" applyBorder="1" applyFill="1" applyFont="1">
      <alignment horizontal="left" readingOrder="0" vertical="center"/>
    </xf>
    <xf borderId="15" fillId="3" fontId="5" numFmtId="0" xfId="0" applyAlignment="1" applyBorder="1" applyFill="1" applyFont="1">
      <alignment readingOrder="0" vertical="center"/>
    </xf>
    <xf borderId="15" fillId="3" fontId="5" numFmtId="0" xfId="0" applyAlignment="1" applyBorder="1" applyFill="1" applyFont="1">
      <alignment horizontal="left" vertical="center"/>
    </xf>
    <xf borderId="16" fillId="3" fontId="5" numFmtId="1" xfId="0" applyAlignment="1" applyBorder="1" applyFill="1" applyFont="1" applyNumberFormat="1">
      <alignment horizontal="left" vertical="center"/>
    </xf>
    <xf borderId="0" fillId="3" fontId="5" numFmtId="1" xfId="0" applyAlignment="1" applyFill="1" applyFont="1" applyNumberFormat="1">
      <alignment horizontal="left" vertical="center"/>
    </xf>
    <xf borderId="0" fillId="3" fontId="5" numFmtId="0" xfId="0" applyAlignment="1" applyFill="1" applyFont="1">
      <alignment readingOrder="0" vertical="center"/>
    </xf>
    <xf borderId="13" fillId="3" fontId="5" numFmtId="1" xfId="0" applyAlignment="1" applyBorder="1" applyFill="1" applyFont="1" applyNumberFormat="1">
      <alignment horizontal="left" vertical="center"/>
    </xf>
    <xf borderId="12" fillId="3" fontId="5" numFmtId="0" xfId="0" applyAlignment="1" applyBorder="1" applyFill="1" applyFont="1">
      <alignment readingOrder="0" vertical="center"/>
    </xf>
    <xf borderId="11" fillId="5" fontId="6" numFmtId="0" xfId="0" applyAlignment="1" applyBorder="1" applyFill="1" applyFont="1">
      <alignment horizontal="left" readingOrder="0" vertical="center"/>
    </xf>
    <xf borderId="0" fillId="5" fontId="6" numFmtId="0" xfId="0" applyAlignment="1" applyFill="1" applyFont="1">
      <alignment readingOrder="0" vertical="center"/>
    </xf>
    <xf borderId="0" fillId="5" fontId="6" numFmtId="0" xfId="0" applyAlignment="1" applyFill="1" applyFont="1">
      <alignment horizontal="left" vertical="center"/>
    </xf>
    <xf borderId="12" fillId="5" fontId="6" numFmtId="1" xfId="0" applyAlignment="1" applyBorder="1" applyFill="1" applyFont="1" applyNumberFormat="1">
      <alignment horizontal="left" vertical="center"/>
    </xf>
    <xf borderId="0" fillId="5" fontId="6" numFmtId="1" xfId="0" applyAlignment="1" applyFill="1" applyFont="1" applyNumberFormat="1">
      <alignment horizontal="left" vertical="center"/>
    </xf>
    <xf borderId="13" fillId="5" fontId="6" numFmtId="1" xfId="0" applyAlignment="1" applyBorder="1" applyFill="1" applyFont="1" applyNumberFormat="1">
      <alignment horizontal="left" vertical="center"/>
    </xf>
    <xf borderId="12" fillId="5" fontId="6" numFmtId="0" xfId="0" applyAlignment="1" applyBorder="1" applyFill="1" applyFont="1">
      <alignment readingOrder="0" vertical="center"/>
    </xf>
    <xf borderId="17" fillId="0" fontId="4" numFmtId="0" xfId="0" applyBorder="1" applyFont="1"/>
    <xf borderId="8" fillId="5" fontId="6" numFmtId="0" xfId="0" applyAlignment="1" applyBorder="1" applyFill="1" applyFont="1">
      <alignment readingOrder="0" vertical="center"/>
    </xf>
    <xf borderId="9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0.25"/>
    <col customWidth="1" min="3" max="3" width="19.13"/>
    <col customWidth="1" min="4" max="4" width="20.63"/>
    <col customWidth="1" min="5" max="5" width="15.63"/>
    <col customWidth="1" min="6" max="6" width="19.88"/>
    <col customWidth="1" min="7" max="7" width="7.5"/>
    <col customWidth="1" min="8" max="8" width="18.75"/>
    <col customWidth="1" min="9" max="9" width="9.25"/>
    <col customWidth="1" min="10" max="10" width="19.0"/>
    <col customWidth="1" min="11" max="11" width="10.25"/>
    <col customWidth="1" min="12" max="12" width="19.5"/>
    <col customWidth="1" min="13" max="13" width="8.5"/>
    <col customWidth="1" min="14" max="14" width="18.0"/>
    <col customWidth="1" min="15" max="15" width="8.88"/>
    <col customWidth="1" min="16" max="16" width="20.25"/>
    <col customWidth="1" min="17" max="17" width="8.5"/>
    <col customWidth="1" min="18" max="18" width="21.75"/>
  </cols>
  <sheetData>
    <row r="1" ht="18.0" customHeight="1">
      <c r="I1" s="1"/>
    </row>
    <row r="2" ht="23.25" customHeight="1">
      <c r="B2" s="2" t="s">
        <v>0</v>
      </c>
      <c r="F2" s="3">
        <v>0.0</v>
      </c>
      <c r="G2" s="4"/>
      <c r="H2" s="5" t="s">
        <v>1</v>
      </c>
      <c r="P2" s="3">
        <v>0.0</v>
      </c>
      <c r="Q2" s="6"/>
    </row>
    <row r="4" ht="33.75" customHeight="1">
      <c r="B4" s="7" t="s">
        <v>2</v>
      </c>
      <c r="C4" s="8"/>
      <c r="D4" s="8"/>
      <c r="E4" s="8"/>
      <c r="F4" s="9"/>
      <c r="G4" s="7" t="s">
        <v>3</v>
      </c>
      <c r="H4" s="8"/>
      <c r="I4" s="8"/>
      <c r="J4" s="8"/>
      <c r="K4" s="8"/>
      <c r="L4" s="8"/>
      <c r="M4" s="8"/>
      <c r="N4" s="8"/>
      <c r="O4" s="8"/>
      <c r="P4" s="8"/>
      <c r="Q4" s="8"/>
      <c r="R4" s="9"/>
    </row>
    <row r="5">
      <c r="B5" s="10" t="s">
        <v>4</v>
      </c>
      <c r="C5" s="11" t="s">
        <v>5</v>
      </c>
      <c r="D5" s="11" t="s">
        <v>6</v>
      </c>
      <c r="E5" s="11" t="s">
        <v>7</v>
      </c>
      <c r="F5" s="12" t="s">
        <v>8</v>
      </c>
      <c r="G5" s="13" t="s">
        <v>9</v>
      </c>
      <c r="H5" s="14"/>
      <c r="I5" s="15" t="s">
        <v>10</v>
      </c>
      <c r="J5" s="14"/>
      <c r="K5" s="15" t="s">
        <v>11</v>
      </c>
      <c r="L5" s="14"/>
      <c r="M5" s="15" t="s">
        <v>12</v>
      </c>
      <c r="N5" s="14"/>
      <c r="O5" s="15" t="s">
        <v>13</v>
      </c>
      <c r="P5" s="14"/>
      <c r="Q5" s="15" t="s">
        <v>14</v>
      </c>
      <c r="R5" s="16"/>
    </row>
    <row r="6">
      <c r="B6" s="17" t="s">
        <v>15</v>
      </c>
      <c r="C6" s="18" t="s">
        <v>16</v>
      </c>
      <c r="D6" s="18" t="s">
        <v>17</v>
      </c>
      <c r="E6" s="19">
        <v>7500.0</v>
      </c>
      <c r="F6" s="20">
        <f>E6/(300+($F$2*150)+(300*$P$2/100))</f>
        <v>25</v>
      </c>
      <c r="G6" s="21">
        <f>F6*10</f>
        <v>250</v>
      </c>
      <c r="H6" s="22" t="s">
        <v>18</v>
      </c>
      <c r="I6" s="23">
        <f>F6*10</f>
        <v>250</v>
      </c>
      <c r="J6" s="18" t="s">
        <v>19</v>
      </c>
      <c r="K6" s="23">
        <f>F6*5</f>
        <v>125</v>
      </c>
      <c r="L6" s="18" t="s">
        <v>20</v>
      </c>
      <c r="M6" s="23">
        <f>F6*5</f>
        <v>125</v>
      </c>
      <c r="N6" s="18" t="s">
        <v>21</v>
      </c>
      <c r="O6" s="23">
        <f>5*E6/(500+($F$2*250)+(500*$P$2/100))</f>
        <v>75</v>
      </c>
      <c r="P6" s="18" t="s">
        <v>22</v>
      </c>
      <c r="Q6" s="23">
        <f>F6*4</f>
        <v>100</v>
      </c>
      <c r="R6" s="24" t="s">
        <v>23</v>
      </c>
    </row>
    <row r="7">
      <c r="B7" s="25"/>
      <c r="F7" s="26"/>
      <c r="H7" s="22" t="s">
        <v>24</v>
      </c>
      <c r="I7" s="27"/>
      <c r="J7" s="18" t="s">
        <v>25</v>
      </c>
      <c r="K7" s="27"/>
      <c r="L7" s="18" t="s">
        <v>26</v>
      </c>
      <c r="M7" s="27"/>
      <c r="N7" s="18" t="s">
        <v>27</v>
      </c>
      <c r="O7" s="27"/>
      <c r="P7" s="18" t="s">
        <v>28</v>
      </c>
      <c r="Q7" s="27"/>
      <c r="R7" s="26"/>
    </row>
    <row r="8">
      <c r="B8" s="28" t="s">
        <v>29</v>
      </c>
      <c r="C8" s="29" t="s">
        <v>30</v>
      </c>
      <c r="D8" s="29" t="s">
        <v>31</v>
      </c>
      <c r="E8" s="30">
        <f>E6+15000</f>
        <v>22500</v>
      </c>
      <c r="F8" s="31">
        <f>E8/(300+($F$2*150)+(300*$P$2/100))</f>
        <v>75</v>
      </c>
      <c r="G8" s="32">
        <f>F8*10</f>
        <v>750</v>
      </c>
      <c r="H8" s="33" t="s">
        <v>32</v>
      </c>
      <c r="I8" s="34">
        <f>F8*10</f>
        <v>750</v>
      </c>
      <c r="J8" s="29" t="s">
        <v>33</v>
      </c>
      <c r="K8" s="34">
        <f>F8*5</f>
        <v>375</v>
      </c>
      <c r="L8" s="29" t="s">
        <v>34</v>
      </c>
      <c r="M8" s="34">
        <f>F8*5</f>
        <v>375</v>
      </c>
      <c r="N8" s="29" t="s">
        <v>35</v>
      </c>
      <c r="O8" s="34">
        <f>5*E8/(500+($F$2*250)+(500*$P$2/100))</f>
        <v>225</v>
      </c>
      <c r="P8" s="29" t="s">
        <v>36</v>
      </c>
      <c r="Q8" s="34">
        <f>F8*4</f>
        <v>300</v>
      </c>
      <c r="R8" s="35" t="s">
        <v>37</v>
      </c>
    </row>
    <row r="9">
      <c r="B9" s="25"/>
      <c r="F9" s="26"/>
      <c r="H9" s="33" t="s">
        <v>38</v>
      </c>
      <c r="I9" s="27"/>
      <c r="J9" s="29" t="s">
        <v>39</v>
      </c>
      <c r="K9" s="27"/>
      <c r="L9" s="29" t="s">
        <v>40</v>
      </c>
      <c r="M9" s="27"/>
      <c r="N9" s="29" t="s">
        <v>41</v>
      </c>
      <c r="O9" s="27"/>
      <c r="P9" s="29" t="s">
        <v>42</v>
      </c>
      <c r="Q9" s="27"/>
      <c r="R9" s="26"/>
    </row>
    <row r="10">
      <c r="B10" s="17" t="s">
        <v>43</v>
      </c>
      <c r="C10" s="18" t="s">
        <v>44</v>
      </c>
      <c r="D10" s="18" t="s">
        <v>45</v>
      </c>
      <c r="E10" s="36">
        <f>E8+15000</f>
        <v>37500</v>
      </c>
      <c r="F10" s="20">
        <f>E10/(300+($F$2*150)+(300*$P$2/100))</f>
        <v>125</v>
      </c>
      <c r="G10" s="21">
        <f>F10*10</f>
        <v>1250</v>
      </c>
      <c r="H10" s="22" t="s">
        <v>46</v>
      </c>
      <c r="I10" s="23">
        <f>F10*10</f>
        <v>1250</v>
      </c>
      <c r="J10" s="18" t="s">
        <v>47</v>
      </c>
      <c r="K10" s="23">
        <f>F10*5</f>
        <v>625</v>
      </c>
      <c r="L10" s="18" t="s">
        <v>48</v>
      </c>
      <c r="M10" s="23">
        <f>F10*5</f>
        <v>625</v>
      </c>
      <c r="N10" s="18" t="s">
        <v>49</v>
      </c>
      <c r="O10" s="23">
        <f>5*E10/(500+($F$2*250)+(500*$P$2/100))</f>
        <v>375</v>
      </c>
      <c r="P10" s="18" t="s">
        <v>50</v>
      </c>
      <c r="Q10" s="23">
        <f>F10*4</f>
        <v>500</v>
      </c>
      <c r="R10" s="24" t="s">
        <v>51</v>
      </c>
    </row>
    <row r="11">
      <c r="B11" s="25"/>
      <c r="F11" s="26"/>
      <c r="H11" s="22" t="s">
        <v>52</v>
      </c>
      <c r="I11" s="27"/>
      <c r="J11" s="18" t="s">
        <v>53</v>
      </c>
      <c r="K11" s="27"/>
      <c r="L11" s="18" t="s">
        <v>54</v>
      </c>
      <c r="M11" s="27"/>
      <c r="N11" s="18" t="s">
        <v>55</v>
      </c>
      <c r="O11" s="27"/>
      <c r="P11" s="18" t="s">
        <v>56</v>
      </c>
      <c r="Q11" s="27"/>
      <c r="R11" s="26"/>
    </row>
    <row r="12">
      <c r="B12" s="28" t="s">
        <v>57</v>
      </c>
      <c r="C12" s="29" t="s">
        <v>58</v>
      </c>
      <c r="D12" s="29" t="s">
        <v>59</v>
      </c>
      <c r="E12" s="30">
        <f>E10+15000</f>
        <v>52500</v>
      </c>
      <c r="F12" s="31">
        <f>E12/(300+($F$2*150)+(300*$P$2/100))</f>
        <v>175</v>
      </c>
      <c r="G12" s="32">
        <f>F12*10</f>
        <v>1750</v>
      </c>
      <c r="H12" s="33" t="s">
        <v>60</v>
      </c>
      <c r="I12" s="34">
        <f>F12*10</f>
        <v>1750</v>
      </c>
      <c r="J12" s="29" t="s">
        <v>61</v>
      </c>
      <c r="K12" s="34">
        <f>F12*5</f>
        <v>875</v>
      </c>
      <c r="L12" s="29" t="s">
        <v>62</v>
      </c>
      <c r="M12" s="34">
        <f>F12*5</f>
        <v>875</v>
      </c>
      <c r="N12" s="29" t="s">
        <v>63</v>
      </c>
      <c r="O12" s="34">
        <f>5*E12/(500+($F$2*250)+(500*$P$2/100))</f>
        <v>525</v>
      </c>
      <c r="P12" s="29" t="s">
        <v>64</v>
      </c>
      <c r="Q12" s="34">
        <f>F12*4</f>
        <v>700</v>
      </c>
      <c r="R12" s="35" t="s">
        <v>65</v>
      </c>
    </row>
    <row r="13">
      <c r="B13" s="25"/>
      <c r="F13" s="26"/>
      <c r="H13" s="33" t="s">
        <v>66</v>
      </c>
      <c r="I13" s="27"/>
      <c r="J13" s="29" t="s">
        <v>67</v>
      </c>
      <c r="K13" s="27"/>
      <c r="L13" s="29" t="s">
        <v>68</v>
      </c>
      <c r="M13" s="27"/>
      <c r="N13" s="29" t="s">
        <v>69</v>
      </c>
      <c r="O13" s="27"/>
      <c r="P13" s="29" t="s">
        <v>70</v>
      </c>
      <c r="Q13" s="27"/>
      <c r="R13" s="26"/>
    </row>
    <row r="14">
      <c r="B14" s="17" t="s">
        <v>71</v>
      </c>
      <c r="C14" s="18" t="s">
        <v>72</v>
      </c>
      <c r="D14" s="18" t="s">
        <v>73</v>
      </c>
      <c r="E14" s="36">
        <f>E12+15000</f>
        <v>67500</v>
      </c>
      <c r="F14" s="20">
        <f>E14/(300+($F$2*150)+(300*$P$2/100))</f>
        <v>225</v>
      </c>
      <c r="G14" s="21">
        <f>F14*10</f>
        <v>2250</v>
      </c>
      <c r="H14" s="22" t="s">
        <v>74</v>
      </c>
      <c r="I14" s="23">
        <f>F14*10</f>
        <v>2250</v>
      </c>
      <c r="J14" s="18" t="s">
        <v>75</v>
      </c>
      <c r="K14" s="23">
        <f>F14*5</f>
        <v>1125</v>
      </c>
      <c r="L14" s="18" t="s">
        <v>76</v>
      </c>
      <c r="M14" s="23">
        <f>F14*5</f>
        <v>1125</v>
      </c>
      <c r="N14" s="18" t="s">
        <v>77</v>
      </c>
      <c r="O14" s="23">
        <f>5*E14/(500+($F$2*250)+(500*$P$2/100))</f>
        <v>675</v>
      </c>
      <c r="P14" s="18" t="s">
        <v>78</v>
      </c>
      <c r="Q14" s="23">
        <f>F14*4</f>
        <v>900</v>
      </c>
      <c r="R14" s="24" t="s">
        <v>79</v>
      </c>
    </row>
    <row r="15">
      <c r="B15" s="25"/>
      <c r="F15" s="26"/>
      <c r="H15" s="22" t="s">
        <v>80</v>
      </c>
      <c r="I15" s="27"/>
      <c r="J15" s="18" t="s">
        <v>81</v>
      </c>
      <c r="K15" s="27"/>
      <c r="L15" s="18" t="s">
        <v>82</v>
      </c>
      <c r="M15" s="27"/>
      <c r="N15" s="18" t="s">
        <v>83</v>
      </c>
      <c r="O15" s="27"/>
      <c r="P15" s="18" t="s">
        <v>84</v>
      </c>
      <c r="Q15" s="27"/>
      <c r="R15" s="26"/>
    </row>
    <row r="16">
      <c r="B16" s="28" t="s">
        <v>85</v>
      </c>
      <c r="C16" s="29" t="s">
        <v>86</v>
      </c>
      <c r="D16" s="29" t="s">
        <v>87</v>
      </c>
      <c r="E16" s="30">
        <f>E14+15000</f>
        <v>82500</v>
      </c>
      <c r="F16" s="31">
        <f>E16/(300+($F$2*150)+(300*$P$2/100))</f>
        <v>275</v>
      </c>
      <c r="G16" s="32">
        <f>F16*10</f>
        <v>2750</v>
      </c>
      <c r="H16" s="33" t="s">
        <v>88</v>
      </c>
      <c r="I16" s="34">
        <f>F16*10</f>
        <v>2750</v>
      </c>
      <c r="J16" s="29" t="s">
        <v>89</v>
      </c>
      <c r="K16" s="34">
        <f>F16*5</f>
        <v>1375</v>
      </c>
      <c r="L16" s="29" t="s">
        <v>90</v>
      </c>
      <c r="M16" s="34">
        <f>F16*5</f>
        <v>1375</v>
      </c>
      <c r="N16" s="29" t="s">
        <v>91</v>
      </c>
      <c r="O16" s="34">
        <f>5*E16/(500+($F$2*250)+(500*$P$2/100))</f>
        <v>825</v>
      </c>
      <c r="P16" s="29" t="s">
        <v>92</v>
      </c>
      <c r="Q16" s="34">
        <f>F16*4</f>
        <v>1100</v>
      </c>
      <c r="R16" s="35" t="s">
        <v>93</v>
      </c>
    </row>
    <row r="17">
      <c r="B17" s="25"/>
      <c r="F17" s="26"/>
      <c r="H17" s="33" t="s">
        <v>94</v>
      </c>
      <c r="I17" s="27"/>
      <c r="J17" s="29" t="s">
        <v>95</v>
      </c>
      <c r="K17" s="27"/>
      <c r="L17" s="29" t="s">
        <v>96</v>
      </c>
      <c r="M17" s="27"/>
      <c r="N17" s="29" t="s">
        <v>97</v>
      </c>
      <c r="O17" s="27"/>
      <c r="P17" s="29" t="s">
        <v>98</v>
      </c>
      <c r="Q17" s="27"/>
      <c r="R17" s="26"/>
    </row>
    <row r="18">
      <c r="B18" s="17" t="s">
        <v>99</v>
      </c>
      <c r="C18" s="18" t="s">
        <v>100</v>
      </c>
      <c r="D18" s="18" t="s">
        <v>101</v>
      </c>
      <c r="E18" s="36">
        <f>E16+15000</f>
        <v>97500</v>
      </c>
      <c r="F18" s="20">
        <f>E18/(300+($F$2*150)+(300*$P$2/100))</f>
        <v>325</v>
      </c>
      <c r="G18" s="21">
        <f>F18*10</f>
        <v>3250</v>
      </c>
      <c r="H18" s="22" t="s">
        <v>102</v>
      </c>
      <c r="I18" s="23">
        <f>F18*10</f>
        <v>3250</v>
      </c>
      <c r="J18" s="18" t="s">
        <v>103</v>
      </c>
      <c r="K18" s="23">
        <f>F18*5</f>
        <v>1625</v>
      </c>
      <c r="L18" s="18" t="s">
        <v>104</v>
      </c>
      <c r="M18" s="23">
        <f>F18*5</f>
        <v>1625</v>
      </c>
      <c r="N18" s="18" t="s">
        <v>105</v>
      </c>
      <c r="O18" s="23">
        <f>5*E18/(500+($F$2*250)+(500*$P$2/100))</f>
        <v>975</v>
      </c>
      <c r="P18" s="18" t="s">
        <v>106</v>
      </c>
      <c r="Q18" s="23">
        <f>F18*4</f>
        <v>1300</v>
      </c>
      <c r="R18" s="24" t="s">
        <v>107</v>
      </c>
    </row>
    <row r="19">
      <c r="B19" s="25"/>
      <c r="F19" s="26"/>
      <c r="H19" s="22" t="s">
        <v>108</v>
      </c>
      <c r="I19" s="27"/>
      <c r="J19" s="18" t="s">
        <v>109</v>
      </c>
      <c r="K19" s="27"/>
      <c r="L19" s="18" t="s">
        <v>110</v>
      </c>
      <c r="M19" s="27"/>
      <c r="N19" s="18" t="s">
        <v>111</v>
      </c>
      <c r="O19" s="27"/>
      <c r="P19" s="18" t="s">
        <v>112</v>
      </c>
      <c r="Q19" s="27"/>
      <c r="R19" s="26"/>
    </row>
    <row r="20">
      <c r="B20" s="28" t="s">
        <v>113</v>
      </c>
      <c r="C20" s="29" t="s">
        <v>114</v>
      </c>
      <c r="D20" s="29" t="s">
        <v>115</v>
      </c>
      <c r="E20" s="30">
        <f>E18+15000</f>
        <v>112500</v>
      </c>
      <c r="F20" s="31">
        <f>E20/(300+($F$2*150)+(300*$P$2/100))</f>
        <v>375</v>
      </c>
      <c r="G20" s="32">
        <f>F20*10</f>
        <v>3750</v>
      </c>
      <c r="H20" s="33" t="s">
        <v>116</v>
      </c>
      <c r="I20" s="34">
        <f>F20*10</f>
        <v>3750</v>
      </c>
      <c r="J20" s="29" t="s">
        <v>117</v>
      </c>
      <c r="K20" s="34">
        <f>F20*5</f>
        <v>1875</v>
      </c>
      <c r="L20" s="29" t="s">
        <v>118</v>
      </c>
      <c r="M20" s="34">
        <f>F20*5</f>
        <v>1875</v>
      </c>
      <c r="N20" s="29" t="s">
        <v>119</v>
      </c>
      <c r="O20" s="34">
        <f>5*E20/(500+($F$2*250)+(500*$P$2/100))</f>
        <v>1125</v>
      </c>
      <c r="P20" s="29" t="s">
        <v>120</v>
      </c>
      <c r="Q20" s="34">
        <f>F20*4</f>
        <v>1500</v>
      </c>
      <c r="R20" s="35" t="s">
        <v>121</v>
      </c>
    </row>
    <row r="21">
      <c r="B21" s="25"/>
      <c r="F21" s="26"/>
      <c r="H21" s="33" t="s">
        <v>122</v>
      </c>
      <c r="I21" s="27"/>
      <c r="J21" s="29" t="s">
        <v>123</v>
      </c>
      <c r="K21" s="27"/>
      <c r="L21" s="29" t="s">
        <v>124</v>
      </c>
      <c r="M21" s="27"/>
      <c r="N21" s="29" t="s">
        <v>125</v>
      </c>
      <c r="O21" s="27"/>
      <c r="P21" s="29" t="s">
        <v>126</v>
      </c>
      <c r="Q21" s="27"/>
      <c r="R21" s="26"/>
    </row>
    <row r="22">
      <c r="B22" s="17" t="s">
        <v>127</v>
      </c>
      <c r="C22" s="18" t="s">
        <v>128</v>
      </c>
      <c r="D22" s="18" t="s">
        <v>129</v>
      </c>
      <c r="E22" s="36">
        <f>E20+15000</f>
        <v>127500</v>
      </c>
      <c r="F22" s="20">
        <f>E22/(300+($F$2*150)+(300*$P$2/100))</f>
        <v>425</v>
      </c>
      <c r="G22" s="21">
        <f>F22*10</f>
        <v>4250</v>
      </c>
      <c r="H22" s="22" t="s">
        <v>130</v>
      </c>
      <c r="I22" s="23">
        <f>F22*10</f>
        <v>4250</v>
      </c>
      <c r="J22" s="18" t="s">
        <v>131</v>
      </c>
      <c r="K22" s="23">
        <f>F22*5</f>
        <v>2125</v>
      </c>
      <c r="L22" s="18" t="s">
        <v>132</v>
      </c>
      <c r="M22" s="23">
        <f>F22*5</f>
        <v>2125</v>
      </c>
      <c r="N22" s="18" t="s">
        <v>133</v>
      </c>
      <c r="O22" s="23">
        <f>5*E22/(500+($F$2*250)+(500*$P$2/100))</f>
        <v>1275</v>
      </c>
      <c r="P22" s="18" t="s">
        <v>134</v>
      </c>
      <c r="Q22" s="23">
        <f>F22*4</f>
        <v>1700</v>
      </c>
      <c r="R22" s="24" t="s">
        <v>135</v>
      </c>
    </row>
    <row r="23">
      <c r="B23" s="25"/>
      <c r="F23" s="26"/>
      <c r="H23" s="22" t="s">
        <v>136</v>
      </c>
      <c r="I23" s="27"/>
      <c r="J23" s="18" t="s">
        <v>137</v>
      </c>
      <c r="K23" s="27"/>
      <c r="L23" s="18" t="s">
        <v>138</v>
      </c>
      <c r="M23" s="27"/>
      <c r="N23" s="18" t="s">
        <v>139</v>
      </c>
      <c r="O23" s="27"/>
      <c r="P23" s="18" t="s">
        <v>140</v>
      </c>
      <c r="Q23" s="27"/>
      <c r="R23" s="26"/>
    </row>
    <row r="24">
      <c r="B24" s="28" t="s">
        <v>141</v>
      </c>
      <c r="C24" s="29" t="s">
        <v>142</v>
      </c>
      <c r="D24" s="29" t="s">
        <v>143</v>
      </c>
      <c r="E24" s="30">
        <f>E22+15000</f>
        <v>142500</v>
      </c>
      <c r="F24" s="31">
        <f>E24/(300+($F$2*150)+(300*$P$2/100))</f>
        <v>475</v>
      </c>
      <c r="G24" s="32">
        <f>F24*10</f>
        <v>4750</v>
      </c>
      <c r="H24" s="33" t="s">
        <v>144</v>
      </c>
      <c r="I24" s="34">
        <f>F24*10</f>
        <v>4750</v>
      </c>
      <c r="J24" s="29" t="s">
        <v>145</v>
      </c>
      <c r="K24" s="34">
        <f>F24*5</f>
        <v>2375</v>
      </c>
      <c r="L24" s="29" t="s">
        <v>146</v>
      </c>
      <c r="M24" s="34">
        <f>F24*5</f>
        <v>2375</v>
      </c>
      <c r="N24" s="29" t="s">
        <v>147</v>
      </c>
      <c r="O24" s="34">
        <f>5*E24/(500+($F$2*250)+(500*$P$2/100))</f>
        <v>1425</v>
      </c>
      <c r="P24" s="29" t="s">
        <v>148</v>
      </c>
      <c r="Q24" s="34">
        <f>F24*4</f>
        <v>1900</v>
      </c>
      <c r="R24" s="35" t="s">
        <v>149</v>
      </c>
    </row>
    <row r="25">
      <c r="B25" s="25"/>
      <c r="F25" s="26"/>
      <c r="H25" s="33" t="s">
        <v>150</v>
      </c>
      <c r="I25" s="27"/>
      <c r="J25" s="29" t="s">
        <v>151</v>
      </c>
      <c r="K25" s="27"/>
      <c r="L25" s="29" t="s">
        <v>152</v>
      </c>
      <c r="M25" s="27"/>
      <c r="N25" s="29" t="s">
        <v>153</v>
      </c>
      <c r="O25" s="27"/>
      <c r="P25" s="29" t="s">
        <v>154</v>
      </c>
      <c r="Q25" s="27"/>
      <c r="R25" s="26"/>
    </row>
    <row r="26">
      <c r="B26" s="17" t="s">
        <v>155</v>
      </c>
      <c r="C26" s="18" t="s">
        <v>156</v>
      </c>
      <c r="D26" s="18" t="s">
        <v>157</v>
      </c>
      <c r="E26" s="36">
        <f>E24+15000</f>
        <v>157500</v>
      </c>
      <c r="F26" s="20">
        <f>E26/(300+($F$2*150)+(300*$P$2/100))</f>
        <v>525</v>
      </c>
      <c r="G26" s="21">
        <f>F26*10</f>
        <v>5250</v>
      </c>
      <c r="H26" s="22" t="s">
        <v>158</v>
      </c>
      <c r="I26" s="23">
        <f>F26*10</f>
        <v>5250</v>
      </c>
      <c r="J26" s="18" t="s">
        <v>159</v>
      </c>
      <c r="K26" s="23">
        <f>F26*5</f>
        <v>2625</v>
      </c>
      <c r="L26" s="18" t="s">
        <v>160</v>
      </c>
      <c r="M26" s="23">
        <f>F26*5</f>
        <v>2625</v>
      </c>
      <c r="N26" s="18" t="s">
        <v>161</v>
      </c>
      <c r="O26" s="23">
        <f>5*E26/(500+($F$2*250)+(500*$P$2/100))</f>
        <v>1575</v>
      </c>
      <c r="P26" s="18" t="s">
        <v>162</v>
      </c>
      <c r="Q26" s="23">
        <f>F26*4</f>
        <v>2100</v>
      </c>
      <c r="R26" s="24" t="s">
        <v>163</v>
      </c>
    </row>
    <row r="27">
      <c r="B27" s="25"/>
      <c r="F27" s="26"/>
      <c r="H27" s="22" t="s">
        <v>164</v>
      </c>
      <c r="I27" s="27"/>
      <c r="J27" s="18" t="s">
        <v>165</v>
      </c>
      <c r="K27" s="27"/>
      <c r="L27" s="18" t="s">
        <v>166</v>
      </c>
      <c r="M27" s="27"/>
      <c r="N27" s="18" t="s">
        <v>167</v>
      </c>
      <c r="O27" s="27"/>
      <c r="P27" s="18" t="s">
        <v>168</v>
      </c>
      <c r="Q27" s="27"/>
      <c r="R27" s="26"/>
    </row>
    <row r="28">
      <c r="B28" s="28" t="s">
        <v>169</v>
      </c>
      <c r="C28" s="29" t="s">
        <v>170</v>
      </c>
      <c r="D28" s="29" t="s">
        <v>171</v>
      </c>
      <c r="E28" s="30">
        <f>E26+15000</f>
        <v>172500</v>
      </c>
      <c r="F28" s="31">
        <f>E28/(300+($F$2*150)+(300*$P$2/100))</f>
        <v>575</v>
      </c>
      <c r="G28" s="32">
        <f>F28*10</f>
        <v>5750</v>
      </c>
      <c r="H28" s="33" t="s">
        <v>172</v>
      </c>
      <c r="I28" s="34">
        <f>F28*10</f>
        <v>5750</v>
      </c>
      <c r="J28" s="29" t="s">
        <v>173</v>
      </c>
      <c r="K28" s="34">
        <f>F28*5</f>
        <v>2875</v>
      </c>
      <c r="L28" s="29" t="s">
        <v>174</v>
      </c>
      <c r="M28" s="34">
        <f>F28*5</f>
        <v>2875</v>
      </c>
      <c r="N28" s="29" t="s">
        <v>175</v>
      </c>
      <c r="O28" s="34">
        <f>5*E28/(500+($F$2*250)+(500*$P$2/100))</f>
        <v>1725</v>
      </c>
      <c r="P28" s="29" t="s">
        <v>176</v>
      </c>
      <c r="Q28" s="34">
        <f>F28*4</f>
        <v>2300</v>
      </c>
      <c r="R28" s="35" t="s">
        <v>177</v>
      </c>
    </row>
    <row r="29">
      <c r="B29" s="25"/>
      <c r="F29" s="26"/>
      <c r="H29" s="33" t="s">
        <v>178</v>
      </c>
      <c r="I29" s="27"/>
      <c r="J29" s="29" t="s">
        <v>179</v>
      </c>
      <c r="K29" s="27"/>
      <c r="L29" s="29" t="s">
        <v>180</v>
      </c>
      <c r="M29" s="27"/>
      <c r="N29" s="29" t="s">
        <v>181</v>
      </c>
      <c r="O29" s="27"/>
      <c r="P29" s="29" t="s">
        <v>182</v>
      </c>
      <c r="Q29" s="27"/>
      <c r="R29" s="26"/>
    </row>
    <row r="30">
      <c r="B30" s="17" t="s">
        <v>183</v>
      </c>
      <c r="C30" s="18" t="s">
        <v>184</v>
      </c>
      <c r="D30" s="18" t="s">
        <v>185</v>
      </c>
      <c r="E30" s="36">
        <f>E28+15000</f>
        <v>187500</v>
      </c>
      <c r="F30" s="20">
        <f>E30/(300+($F$2*150)+(300*$P$2/100))</f>
        <v>625</v>
      </c>
      <c r="G30" s="21">
        <f>F30*10</f>
        <v>6250</v>
      </c>
      <c r="H30" s="22" t="s">
        <v>186</v>
      </c>
      <c r="I30" s="23">
        <f>F30*10</f>
        <v>6250</v>
      </c>
      <c r="J30" s="18" t="s">
        <v>187</v>
      </c>
      <c r="K30" s="23">
        <f>F30*5</f>
        <v>3125</v>
      </c>
      <c r="L30" s="18" t="s">
        <v>188</v>
      </c>
      <c r="M30" s="23">
        <f>F30*5</f>
        <v>3125</v>
      </c>
      <c r="N30" s="18" t="s">
        <v>189</v>
      </c>
      <c r="O30" s="23">
        <f>5*E30/(500+($F$2*250)+(500*$P$2/100))</f>
        <v>1875</v>
      </c>
      <c r="P30" s="18" t="s">
        <v>190</v>
      </c>
      <c r="Q30" s="23">
        <f>F30*4</f>
        <v>2500</v>
      </c>
      <c r="R30" s="24" t="s">
        <v>191</v>
      </c>
    </row>
    <row r="31">
      <c r="B31" s="25"/>
      <c r="F31" s="26"/>
      <c r="H31" s="22" t="s">
        <v>192</v>
      </c>
      <c r="I31" s="27"/>
      <c r="J31" s="18" t="s">
        <v>193</v>
      </c>
      <c r="K31" s="27"/>
      <c r="L31" s="18" t="s">
        <v>194</v>
      </c>
      <c r="M31" s="27"/>
      <c r="N31" s="18" t="s">
        <v>195</v>
      </c>
      <c r="O31" s="27"/>
      <c r="P31" s="18" t="s">
        <v>196</v>
      </c>
      <c r="Q31" s="27"/>
      <c r="R31" s="26"/>
    </row>
    <row r="32">
      <c r="B32" s="28" t="s">
        <v>197</v>
      </c>
      <c r="C32" s="29" t="s">
        <v>198</v>
      </c>
      <c r="D32" s="29" t="s">
        <v>199</v>
      </c>
      <c r="E32" s="30">
        <f>E30+15000</f>
        <v>202500</v>
      </c>
      <c r="F32" s="31">
        <f>E32/(300+($F$2*150)+(300*$P$2/100))</f>
        <v>675</v>
      </c>
      <c r="G32" s="37">
        <f>F32*10</f>
        <v>6750</v>
      </c>
      <c r="H32" s="33" t="s">
        <v>200</v>
      </c>
      <c r="I32" s="34">
        <f>F32*10</f>
        <v>6750</v>
      </c>
      <c r="J32" s="29" t="s">
        <v>201</v>
      </c>
      <c r="K32" s="34">
        <f>F32*5</f>
        <v>3375</v>
      </c>
      <c r="L32" s="29" t="s">
        <v>202</v>
      </c>
      <c r="M32" s="34">
        <f>F32*5</f>
        <v>3375</v>
      </c>
      <c r="N32" s="29" t="s">
        <v>203</v>
      </c>
      <c r="O32" s="34">
        <f>5*E32/(500+($F$2*250)+(500*$P$2/100))</f>
        <v>2025</v>
      </c>
      <c r="P32" s="29" t="s">
        <v>204</v>
      </c>
      <c r="Q32" s="34">
        <f>F32*4</f>
        <v>2700</v>
      </c>
      <c r="R32" s="35" t="s">
        <v>205</v>
      </c>
    </row>
    <row r="33">
      <c r="B33" s="25"/>
      <c r="F33" s="26"/>
      <c r="H33" s="33" t="s">
        <v>206</v>
      </c>
      <c r="I33" s="27"/>
      <c r="J33" s="29" t="s">
        <v>207</v>
      </c>
      <c r="K33" s="27"/>
      <c r="L33" s="29" t="s">
        <v>208</v>
      </c>
      <c r="M33" s="27"/>
      <c r="N33" s="29" t="s">
        <v>209</v>
      </c>
      <c r="O33" s="27"/>
      <c r="P33" s="29" t="s">
        <v>210</v>
      </c>
      <c r="Q33" s="27"/>
      <c r="R33" s="26"/>
    </row>
    <row r="34">
      <c r="B34" s="17" t="s">
        <v>211</v>
      </c>
      <c r="C34" s="18" t="s">
        <v>212</v>
      </c>
      <c r="D34" s="18" t="s">
        <v>213</v>
      </c>
      <c r="E34" s="36">
        <f>E32+15000</f>
        <v>217500</v>
      </c>
      <c r="F34" s="20">
        <f>E34/(300+($F$2*150)+(300*$P$2/100))</f>
        <v>725</v>
      </c>
      <c r="G34" s="21">
        <f>F34*10</f>
        <v>7250</v>
      </c>
      <c r="H34" s="22" t="s">
        <v>214</v>
      </c>
      <c r="I34" s="23">
        <f>F34*10</f>
        <v>7250</v>
      </c>
      <c r="J34" s="18" t="s">
        <v>215</v>
      </c>
      <c r="K34" s="23">
        <f>F34*5</f>
        <v>3625</v>
      </c>
      <c r="L34" s="18" t="s">
        <v>216</v>
      </c>
      <c r="M34" s="23">
        <f>F34*5</f>
        <v>3625</v>
      </c>
      <c r="N34" s="18" t="s">
        <v>217</v>
      </c>
      <c r="O34" s="23">
        <f>5*E34/(500+($F$2*250)+(500*$P$2/100))</f>
        <v>2175</v>
      </c>
      <c r="P34" s="18" t="s">
        <v>218</v>
      </c>
      <c r="Q34" s="23">
        <f>F34*4</f>
        <v>2900</v>
      </c>
      <c r="R34" s="24" t="s">
        <v>219</v>
      </c>
    </row>
    <row r="35">
      <c r="B35" s="25"/>
      <c r="F35" s="26"/>
      <c r="H35" s="22" t="s">
        <v>220</v>
      </c>
      <c r="I35" s="27"/>
      <c r="J35" s="18" t="s">
        <v>221</v>
      </c>
      <c r="K35" s="27"/>
      <c r="L35" s="18" t="s">
        <v>222</v>
      </c>
      <c r="M35" s="27"/>
      <c r="N35" s="18" t="s">
        <v>223</v>
      </c>
      <c r="O35" s="27"/>
      <c r="P35" s="18" t="s">
        <v>224</v>
      </c>
      <c r="Q35" s="27"/>
      <c r="R35" s="26"/>
    </row>
    <row r="36">
      <c r="B36" s="38" t="s">
        <v>225</v>
      </c>
      <c r="C36" s="39" t="s">
        <v>226</v>
      </c>
      <c r="D36" s="39" t="s">
        <v>227</v>
      </c>
      <c r="E36" s="40">
        <f>E34+15000</f>
        <v>232500</v>
      </c>
      <c r="F36" s="41">
        <f>E36/(300+($F$2*150)+(300*$P$2/100))</f>
        <v>775</v>
      </c>
      <c r="G36" s="42">
        <f>F36*10</f>
        <v>7750</v>
      </c>
      <c r="H36" s="43" t="s">
        <v>228</v>
      </c>
      <c r="I36" s="44">
        <f>F36*10</f>
        <v>7750</v>
      </c>
      <c r="J36" s="43" t="s">
        <v>229</v>
      </c>
      <c r="K36" s="44">
        <f>F36*5</f>
        <v>3875</v>
      </c>
      <c r="L36" s="43" t="s">
        <v>230</v>
      </c>
      <c r="M36" s="44">
        <f>F36*5</f>
        <v>3875</v>
      </c>
      <c r="N36" s="43" t="s">
        <v>231</v>
      </c>
      <c r="O36" s="44">
        <f>5*E36/(500+($F$2*250)+(500*$P$2/100))</f>
        <v>2325</v>
      </c>
      <c r="P36" s="43" t="s">
        <v>232</v>
      </c>
      <c r="Q36" s="44">
        <f>F36*4</f>
        <v>3100</v>
      </c>
      <c r="R36" s="45" t="s">
        <v>233</v>
      </c>
    </row>
    <row r="37">
      <c r="B37" s="25"/>
      <c r="F37" s="26"/>
      <c r="H37" s="43" t="s">
        <v>234</v>
      </c>
      <c r="I37" s="27"/>
      <c r="J37" s="43" t="s">
        <v>235</v>
      </c>
      <c r="K37" s="27"/>
      <c r="L37" s="43" t="s">
        <v>236</v>
      </c>
      <c r="M37" s="27"/>
      <c r="N37" s="43" t="s">
        <v>237</v>
      </c>
      <c r="O37" s="27"/>
      <c r="P37" s="43" t="s">
        <v>238</v>
      </c>
      <c r="Q37" s="27"/>
      <c r="R37" s="26"/>
    </row>
    <row r="38">
      <c r="B38" s="46" t="s">
        <v>239</v>
      </c>
      <c r="C38" s="47" t="s">
        <v>240</v>
      </c>
      <c r="D38" s="47" t="s">
        <v>241</v>
      </c>
      <c r="E38" s="48">
        <f>E36+15000</f>
        <v>247500</v>
      </c>
      <c r="F38" s="49">
        <f>E38/(300+($F$2*150)+(300*$P$2/100))</f>
        <v>825</v>
      </c>
      <c r="G38" s="50">
        <f>F38*10</f>
        <v>8250</v>
      </c>
      <c r="H38" s="47" t="s">
        <v>241</v>
      </c>
      <c r="I38" s="51">
        <f>F38*10</f>
        <v>8250</v>
      </c>
      <c r="J38" s="47" t="s">
        <v>241</v>
      </c>
      <c r="K38" s="51">
        <f>F38*5</f>
        <v>4125</v>
      </c>
      <c r="L38" s="47" t="s">
        <v>241</v>
      </c>
      <c r="M38" s="51">
        <f>F38*5</f>
        <v>4125</v>
      </c>
      <c r="N38" s="47" t="s">
        <v>241</v>
      </c>
      <c r="O38" s="51">
        <f>5*E38/(500+($F$2*250)+(500*$P$2/100))</f>
        <v>2475</v>
      </c>
      <c r="P38" s="47" t="s">
        <v>241</v>
      </c>
      <c r="Q38" s="51">
        <f>F38*4</f>
        <v>3300</v>
      </c>
      <c r="R38" s="52" t="s">
        <v>241</v>
      </c>
    </row>
    <row r="39">
      <c r="B39" s="53"/>
      <c r="C39" s="14"/>
      <c r="D39" s="14"/>
      <c r="E39" s="14"/>
      <c r="F39" s="16"/>
      <c r="G39" s="14"/>
      <c r="H39" s="54" t="s">
        <v>241</v>
      </c>
      <c r="I39" s="55"/>
      <c r="J39" s="54" t="s">
        <v>241</v>
      </c>
      <c r="K39" s="55"/>
      <c r="L39" s="54" t="s">
        <v>241</v>
      </c>
      <c r="M39" s="55"/>
      <c r="N39" s="54" t="s">
        <v>241</v>
      </c>
      <c r="O39" s="55"/>
      <c r="P39" s="54" t="s">
        <v>241</v>
      </c>
      <c r="Q39" s="55"/>
      <c r="R39" s="16"/>
    </row>
  </sheetData>
  <mergeCells count="214">
    <mergeCell ref="M5:N5"/>
    <mergeCell ref="O5:P5"/>
    <mergeCell ref="B2:E2"/>
    <mergeCell ref="H2:O2"/>
    <mergeCell ref="G4:R4"/>
    <mergeCell ref="G5:H5"/>
    <mergeCell ref="I5:J5"/>
    <mergeCell ref="K5:L5"/>
    <mergeCell ref="Q5:R5"/>
    <mergeCell ref="I6:I7"/>
    <mergeCell ref="K6:K7"/>
    <mergeCell ref="M6:M7"/>
    <mergeCell ref="O6:O7"/>
    <mergeCell ref="Q6:Q7"/>
    <mergeCell ref="R6:R7"/>
    <mergeCell ref="B4:F4"/>
    <mergeCell ref="B6:B7"/>
    <mergeCell ref="C6:C7"/>
    <mergeCell ref="D6:D7"/>
    <mergeCell ref="E6:E7"/>
    <mergeCell ref="F6:F7"/>
    <mergeCell ref="G6:G7"/>
    <mergeCell ref="K8:K9"/>
    <mergeCell ref="M8:M9"/>
    <mergeCell ref="O8:O9"/>
    <mergeCell ref="Q8:Q9"/>
    <mergeCell ref="R8:R9"/>
    <mergeCell ref="K10:K11"/>
    <mergeCell ref="M10:M11"/>
    <mergeCell ref="O10:O11"/>
    <mergeCell ref="Q10:Q11"/>
    <mergeCell ref="R10:R11"/>
    <mergeCell ref="K12:K13"/>
    <mergeCell ref="M12:M13"/>
    <mergeCell ref="O12:O13"/>
    <mergeCell ref="Q12:Q13"/>
    <mergeCell ref="R12:R13"/>
    <mergeCell ref="B12:B13"/>
    <mergeCell ref="C12:C13"/>
    <mergeCell ref="D12:D13"/>
    <mergeCell ref="E12:E13"/>
    <mergeCell ref="F12:F13"/>
    <mergeCell ref="G12:G13"/>
    <mergeCell ref="I12:I13"/>
    <mergeCell ref="B8:B9"/>
    <mergeCell ref="C8:C9"/>
    <mergeCell ref="D8:D9"/>
    <mergeCell ref="E8:E9"/>
    <mergeCell ref="F8:F9"/>
    <mergeCell ref="G8:G9"/>
    <mergeCell ref="I8:I9"/>
    <mergeCell ref="B10:B11"/>
    <mergeCell ref="C10:C11"/>
    <mergeCell ref="D10:D11"/>
    <mergeCell ref="E10:E11"/>
    <mergeCell ref="F10:F11"/>
    <mergeCell ref="G10:G11"/>
    <mergeCell ref="I10:I11"/>
    <mergeCell ref="K14:K15"/>
    <mergeCell ref="M14:M15"/>
    <mergeCell ref="O14:O15"/>
    <mergeCell ref="Q14:Q15"/>
    <mergeCell ref="R14:R15"/>
    <mergeCell ref="B14:B15"/>
    <mergeCell ref="C14:C15"/>
    <mergeCell ref="D14:D15"/>
    <mergeCell ref="E14:E15"/>
    <mergeCell ref="F14:F15"/>
    <mergeCell ref="G14:G15"/>
    <mergeCell ref="I14:I15"/>
    <mergeCell ref="K16:K17"/>
    <mergeCell ref="M16:M17"/>
    <mergeCell ref="O16:O17"/>
    <mergeCell ref="Q16:Q17"/>
    <mergeCell ref="R16:R17"/>
    <mergeCell ref="K18:K19"/>
    <mergeCell ref="M18:M19"/>
    <mergeCell ref="O18:O19"/>
    <mergeCell ref="Q18:Q19"/>
    <mergeCell ref="R18:R19"/>
    <mergeCell ref="K20:K21"/>
    <mergeCell ref="M20:M21"/>
    <mergeCell ref="O20:O21"/>
    <mergeCell ref="Q20:Q21"/>
    <mergeCell ref="R20:R21"/>
    <mergeCell ref="B20:B21"/>
    <mergeCell ref="C20:C21"/>
    <mergeCell ref="D20:D21"/>
    <mergeCell ref="E20:E21"/>
    <mergeCell ref="F20:F21"/>
    <mergeCell ref="G20:G21"/>
    <mergeCell ref="I20:I21"/>
    <mergeCell ref="B16:B17"/>
    <mergeCell ref="C16:C17"/>
    <mergeCell ref="D16:D17"/>
    <mergeCell ref="E16:E17"/>
    <mergeCell ref="F16:F17"/>
    <mergeCell ref="G16:G17"/>
    <mergeCell ref="I16:I17"/>
    <mergeCell ref="B18:B19"/>
    <mergeCell ref="C18:C19"/>
    <mergeCell ref="D18:D19"/>
    <mergeCell ref="E18:E19"/>
    <mergeCell ref="F18:F19"/>
    <mergeCell ref="G18:G19"/>
    <mergeCell ref="I18:I19"/>
    <mergeCell ref="K22:K23"/>
    <mergeCell ref="M22:M23"/>
    <mergeCell ref="O22:O23"/>
    <mergeCell ref="Q22:Q23"/>
    <mergeCell ref="R22:R23"/>
    <mergeCell ref="B22:B23"/>
    <mergeCell ref="C22:C23"/>
    <mergeCell ref="D22:D23"/>
    <mergeCell ref="E22:E23"/>
    <mergeCell ref="F22:F23"/>
    <mergeCell ref="G22:G23"/>
    <mergeCell ref="I22:I23"/>
    <mergeCell ref="K24:K25"/>
    <mergeCell ref="M24:M25"/>
    <mergeCell ref="O24:O25"/>
    <mergeCell ref="Q24:Q25"/>
    <mergeCell ref="R24:R25"/>
    <mergeCell ref="K26:K27"/>
    <mergeCell ref="M26:M27"/>
    <mergeCell ref="O26:O27"/>
    <mergeCell ref="Q26:Q27"/>
    <mergeCell ref="R26:R27"/>
    <mergeCell ref="K28:K29"/>
    <mergeCell ref="M28:M29"/>
    <mergeCell ref="O28:O29"/>
    <mergeCell ref="Q28:Q29"/>
    <mergeCell ref="R28:R29"/>
    <mergeCell ref="B28:B29"/>
    <mergeCell ref="C28:C29"/>
    <mergeCell ref="D28:D29"/>
    <mergeCell ref="E28:E29"/>
    <mergeCell ref="F28:F29"/>
    <mergeCell ref="G28:G29"/>
    <mergeCell ref="I28:I29"/>
    <mergeCell ref="B32:B33"/>
    <mergeCell ref="C32:C33"/>
    <mergeCell ref="D32:D33"/>
    <mergeCell ref="E32:E33"/>
    <mergeCell ref="F32:F33"/>
    <mergeCell ref="G32:G33"/>
    <mergeCell ref="I32:I33"/>
    <mergeCell ref="B34:B35"/>
    <mergeCell ref="C34:C35"/>
    <mergeCell ref="D34:D35"/>
    <mergeCell ref="E34:E35"/>
    <mergeCell ref="F34:F35"/>
    <mergeCell ref="G34:G35"/>
    <mergeCell ref="I34:I35"/>
    <mergeCell ref="K38:K39"/>
    <mergeCell ref="M38:M39"/>
    <mergeCell ref="O38:O39"/>
    <mergeCell ref="Q38:Q39"/>
    <mergeCell ref="R38:R39"/>
    <mergeCell ref="B38:B39"/>
    <mergeCell ref="C38:C39"/>
    <mergeCell ref="D38:D39"/>
    <mergeCell ref="E38:E39"/>
    <mergeCell ref="F38:F39"/>
    <mergeCell ref="G38:G39"/>
    <mergeCell ref="I38:I39"/>
    <mergeCell ref="B24:B25"/>
    <mergeCell ref="C24:C25"/>
    <mergeCell ref="D24:D25"/>
    <mergeCell ref="E24:E25"/>
    <mergeCell ref="F24:F25"/>
    <mergeCell ref="G24:G25"/>
    <mergeCell ref="I24:I25"/>
    <mergeCell ref="B26:B27"/>
    <mergeCell ref="C26:C27"/>
    <mergeCell ref="D26:D27"/>
    <mergeCell ref="E26:E27"/>
    <mergeCell ref="F26:F27"/>
    <mergeCell ref="G26:G27"/>
    <mergeCell ref="I26:I27"/>
    <mergeCell ref="K30:K31"/>
    <mergeCell ref="M30:M31"/>
    <mergeCell ref="O30:O31"/>
    <mergeCell ref="Q30:Q31"/>
    <mergeCell ref="R30:R31"/>
    <mergeCell ref="B30:B31"/>
    <mergeCell ref="C30:C31"/>
    <mergeCell ref="D30:D31"/>
    <mergeCell ref="E30:E31"/>
    <mergeCell ref="F30:F31"/>
    <mergeCell ref="G30:G31"/>
    <mergeCell ref="I30:I31"/>
    <mergeCell ref="K32:K33"/>
    <mergeCell ref="M32:M33"/>
    <mergeCell ref="O32:O33"/>
    <mergeCell ref="Q32:Q33"/>
    <mergeCell ref="R32:R33"/>
    <mergeCell ref="K34:K35"/>
    <mergeCell ref="M34:M35"/>
    <mergeCell ref="O34:O35"/>
    <mergeCell ref="Q34:Q35"/>
    <mergeCell ref="R34:R35"/>
    <mergeCell ref="K36:K37"/>
    <mergeCell ref="M36:M37"/>
    <mergeCell ref="O36:O37"/>
    <mergeCell ref="Q36:Q37"/>
    <mergeCell ref="R36:R37"/>
    <mergeCell ref="B36:B37"/>
    <mergeCell ref="C36:C37"/>
    <mergeCell ref="D36:D37"/>
    <mergeCell ref="E36:E37"/>
    <mergeCell ref="F36:F37"/>
    <mergeCell ref="G36:G37"/>
    <mergeCell ref="I36:I37"/>
  </mergeCells>
  <drawing r:id="rId1"/>
</worksheet>
</file>